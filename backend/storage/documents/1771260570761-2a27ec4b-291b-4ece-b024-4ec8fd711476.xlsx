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esktop\Violencia_domesticas_estatisticas\"/>
    </mc:Choice>
  </mc:AlternateContent>
  <xr:revisionPtr revIDLastSave="0" documentId="13_ncr:1_{57C5675E-804A-4243-8C71-54B6C78BE1E2}" xr6:coauthVersionLast="47" xr6:coauthVersionMax="47" xr10:uidLastSave="{00000000-0000-0000-0000-000000000000}"/>
  <bookViews>
    <workbookView xWindow="-108" yWindow="-108" windowWidth="23256" windowHeight="12576" activeTab="2" xr2:uid="{4BA913D9-CAD8-4733-8821-76AFE2D41FEE}"/>
  </bookViews>
  <sheets>
    <sheet name="BANCO DE DADOS" sheetId="1" r:id="rId1"/>
    <sheet name="TABELA DINAMICA" sheetId="3" r:id="rId2"/>
    <sheet name="TABELAS" sheetId="7" r:id="rId3"/>
    <sheet name="DADOS EEAR" sheetId="8" r:id="rId4"/>
    <sheet name="VIOL QTD" sheetId="4" state="hidden" r:id="rId5"/>
    <sheet name="VIOLENCIAS" sheetId="5" state="hidden" r:id="rId6"/>
    <sheet name="TESTES" sheetId="9" r:id="rId7"/>
    <sheet name="QUI QUADRADO" sheetId="10" r:id="rId8"/>
    <sheet name="Planilha1" sheetId="6" state="hidden" r:id="rId9"/>
  </sheets>
  <definedNames>
    <definedName name="_xlnm._FilterDatabase" localSheetId="2" hidden="1">TABELAS!$B$45:$D$45</definedName>
    <definedName name="_xlnm._FilterDatabase" localSheetId="6" hidden="1">TESTES!$M$83:$P$83</definedName>
    <definedName name="_xlnm._FilterDatabase" localSheetId="5" hidden="1">VIOLENCIAS!$N$9:$U$10</definedName>
  </definedName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30" i="7" l="1"/>
  <c r="AC130" i="7"/>
  <c r="C77" i="9"/>
  <c r="H62" i="9"/>
  <c r="I48" i="9"/>
  <c r="B56" i="9"/>
  <c r="O39" i="9" l="1"/>
  <c r="L35" i="9"/>
  <c r="J35" i="9"/>
  <c r="K35" i="9"/>
  <c r="M35" i="9"/>
  <c r="N35" i="9"/>
  <c r="J36" i="9"/>
  <c r="K36" i="9"/>
  <c r="L36" i="9"/>
  <c r="M36" i="9"/>
  <c r="N36" i="9"/>
  <c r="J37" i="9"/>
  <c r="K37" i="9"/>
  <c r="L37" i="9"/>
  <c r="M37" i="9"/>
  <c r="N37" i="9"/>
  <c r="J38" i="9"/>
  <c r="K38" i="9"/>
  <c r="L38" i="9"/>
  <c r="M38" i="9"/>
  <c r="N38" i="9"/>
  <c r="J39" i="9"/>
  <c r="K39" i="9"/>
  <c r="L39" i="9"/>
  <c r="M39" i="9"/>
  <c r="N39" i="9"/>
  <c r="I36" i="9"/>
  <c r="I37" i="9"/>
  <c r="I38" i="9"/>
  <c r="I39" i="9"/>
  <c r="I35" i="9"/>
  <c r="I24" i="9"/>
  <c r="J24" i="9"/>
  <c r="K24" i="9"/>
  <c r="L24" i="9"/>
  <c r="M24" i="9"/>
  <c r="N24" i="9"/>
  <c r="I25" i="9"/>
  <c r="J25" i="9"/>
  <c r="K25" i="9"/>
  <c r="L25" i="9"/>
  <c r="M25" i="9"/>
  <c r="N25" i="9"/>
  <c r="I26" i="9"/>
  <c r="J26" i="9"/>
  <c r="K26" i="9"/>
  <c r="L26" i="9"/>
  <c r="M26" i="9"/>
  <c r="N26" i="9"/>
  <c r="I27" i="9"/>
  <c r="J27" i="9"/>
  <c r="K27" i="9"/>
  <c r="L27" i="9"/>
  <c r="M27" i="9"/>
  <c r="N27" i="9"/>
  <c r="N23" i="9"/>
  <c r="M23" i="9"/>
  <c r="L23" i="9"/>
  <c r="K23" i="9"/>
  <c r="J23" i="9"/>
  <c r="I23" i="9"/>
  <c r="N16" i="9"/>
  <c r="M16" i="9"/>
  <c r="L16" i="9"/>
  <c r="K16" i="9"/>
  <c r="J16" i="9"/>
  <c r="I16" i="9"/>
  <c r="O14" i="9"/>
  <c r="O13" i="9"/>
  <c r="O16" i="9" s="1"/>
  <c r="O12" i="9"/>
  <c r="O11" i="9"/>
  <c r="O10" i="9"/>
  <c r="G150" i="7" l="1"/>
  <c r="G151" i="7"/>
  <c r="G152" i="7"/>
  <c r="G153" i="7"/>
  <c r="H149" i="7"/>
  <c r="G149" i="7"/>
  <c r="F149" i="7"/>
  <c r="E149" i="7"/>
  <c r="D149" i="7"/>
  <c r="C149" i="7"/>
  <c r="H133" i="7"/>
  <c r="G133" i="7"/>
  <c r="F133" i="7"/>
  <c r="F151" i="7" s="1"/>
  <c r="E133" i="7"/>
  <c r="E151" i="7" s="1"/>
  <c r="D133" i="7"/>
  <c r="C133" i="7"/>
  <c r="C150" i="7" s="1"/>
  <c r="I131" i="7"/>
  <c r="I130" i="7"/>
  <c r="I129" i="7"/>
  <c r="I128" i="7"/>
  <c r="I127" i="7"/>
  <c r="P45" i="5"/>
  <c r="Q45" i="5"/>
  <c r="R45" i="5"/>
  <c r="S45" i="5"/>
  <c r="T45" i="5"/>
  <c r="P46" i="5"/>
  <c r="Q46" i="5"/>
  <c r="R46" i="5"/>
  <c r="R50" i="5" s="1"/>
  <c r="S46" i="5"/>
  <c r="T46" i="5"/>
  <c r="P47" i="5"/>
  <c r="Q47" i="5"/>
  <c r="R47" i="5"/>
  <c r="S47" i="5"/>
  <c r="T47" i="5"/>
  <c r="P48" i="5"/>
  <c r="P50" i="5" s="1"/>
  <c r="Q48" i="5"/>
  <c r="R48" i="5"/>
  <c r="S48" i="5"/>
  <c r="T48" i="5"/>
  <c r="T50" i="5" s="1"/>
  <c r="T44" i="5"/>
  <c r="S44" i="5"/>
  <c r="R44" i="5"/>
  <c r="Q44" i="5"/>
  <c r="P44" i="5"/>
  <c r="O45" i="5"/>
  <c r="O46" i="5"/>
  <c r="O47" i="5"/>
  <c r="O48" i="5"/>
  <c r="O50" i="5" s="1"/>
  <c r="O44" i="5"/>
  <c r="S50" i="5"/>
  <c r="V12" i="5"/>
  <c r="V13" i="5"/>
  <c r="V14" i="5"/>
  <c r="V15" i="5"/>
  <c r="V11" i="5"/>
  <c r="U13" i="5"/>
  <c r="P17" i="5"/>
  <c r="Q17" i="5"/>
  <c r="R17" i="5"/>
  <c r="S17" i="5"/>
  <c r="T17" i="5"/>
  <c r="O17" i="5"/>
  <c r="U15" i="5"/>
  <c r="U14" i="5"/>
  <c r="U11" i="5"/>
  <c r="U12" i="5"/>
  <c r="K12" i="5"/>
  <c r="K13" i="5"/>
  <c r="K14" i="5"/>
  <c r="K15" i="5"/>
  <c r="K16" i="5" s="1"/>
  <c r="K11" i="5"/>
  <c r="H11" i="5"/>
  <c r="H15" i="5"/>
  <c r="H14" i="5"/>
  <c r="H13" i="5"/>
  <c r="H12" i="5"/>
  <c r="H2" i="5"/>
  <c r="J16" i="5"/>
  <c r="I16" i="5"/>
  <c r="C33" i="8"/>
  <c r="B33" i="8"/>
  <c r="H100" i="7"/>
  <c r="C102" i="7"/>
  <c r="E11" i="8"/>
  <c r="C11" i="8"/>
  <c r="C10" i="8"/>
  <c r="B10" i="8"/>
  <c r="M14" i="7"/>
  <c r="L12" i="7"/>
  <c r="F88" i="7"/>
  <c r="F85" i="7"/>
  <c r="F89" i="7" s="1"/>
  <c r="E85" i="7"/>
  <c r="D85" i="7"/>
  <c r="D89" i="7" s="1"/>
  <c r="C85" i="7"/>
  <c r="C89" i="7" s="1"/>
  <c r="G84" i="7"/>
  <c r="G83" i="7"/>
  <c r="G77" i="7"/>
  <c r="G78" i="7"/>
  <c r="G79" i="7"/>
  <c r="G76" i="7"/>
  <c r="D80" i="7"/>
  <c r="E80" i="7"/>
  <c r="F80" i="7"/>
  <c r="C80" i="7"/>
  <c r="N6" i="7"/>
  <c r="H12" i="7" s="1"/>
  <c r="N5" i="7"/>
  <c r="L6" i="7"/>
  <c r="G12" i="7" s="1"/>
  <c r="L5" i="7"/>
  <c r="L7" i="7" s="1"/>
  <c r="F6" i="7"/>
  <c r="D12" i="7" s="1"/>
  <c r="F5" i="7"/>
  <c r="D6" i="7"/>
  <c r="C12" i="7" s="1"/>
  <c r="D5" i="7"/>
  <c r="C11" i="7" s="1"/>
  <c r="C49" i="7"/>
  <c r="C51" i="7" s="1"/>
  <c r="D48" i="7" s="1"/>
  <c r="H16" i="5"/>
  <c r="H7" i="5"/>
  <c r="H6" i="5"/>
  <c r="H5" i="5"/>
  <c r="H4" i="5"/>
  <c r="H3" i="5"/>
  <c r="G2" i="4"/>
  <c r="K2" i="4" s="1"/>
  <c r="H2" i="4"/>
  <c r="I2" i="4"/>
  <c r="J2" i="4"/>
  <c r="G3" i="4"/>
  <c r="H3" i="4"/>
  <c r="I3" i="4"/>
  <c r="J3" i="4"/>
  <c r="G4" i="4"/>
  <c r="H4" i="4"/>
  <c r="I4" i="4"/>
  <c r="J4" i="4"/>
  <c r="G5" i="4"/>
  <c r="H5" i="4"/>
  <c r="I5" i="4"/>
  <c r="J5" i="4"/>
  <c r="G6" i="4"/>
  <c r="H6" i="4"/>
  <c r="I6" i="4"/>
  <c r="J6" i="4"/>
  <c r="G7" i="4"/>
  <c r="H7" i="4"/>
  <c r="I7" i="4"/>
  <c r="J7" i="4"/>
  <c r="G8" i="4"/>
  <c r="H8" i="4"/>
  <c r="I8" i="4"/>
  <c r="J8" i="4"/>
  <c r="G9" i="4"/>
  <c r="H9" i="4"/>
  <c r="I9" i="4"/>
  <c r="J9" i="4"/>
  <c r="G10" i="4"/>
  <c r="H10" i="4"/>
  <c r="I10" i="4"/>
  <c r="J10" i="4"/>
  <c r="G11" i="4"/>
  <c r="H11" i="4"/>
  <c r="I11" i="4"/>
  <c r="J11" i="4"/>
  <c r="G12" i="4"/>
  <c r="H12" i="4"/>
  <c r="I12" i="4"/>
  <c r="J12" i="4"/>
  <c r="G13" i="4"/>
  <c r="H13" i="4"/>
  <c r="I13" i="4"/>
  <c r="J13" i="4"/>
  <c r="G14" i="4"/>
  <c r="H14" i="4"/>
  <c r="I14" i="4"/>
  <c r="J14" i="4"/>
  <c r="G15" i="4"/>
  <c r="H15" i="4"/>
  <c r="I15" i="4"/>
  <c r="J15" i="4"/>
  <c r="G16" i="4"/>
  <c r="H16" i="4"/>
  <c r="I16" i="4"/>
  <c r="J16" i="4"/>
  <c r="G17" i="4"/>
  <c r="H17" i="4"/>
  <c r="I17" i="4"/>
  <c r="J17" i="4"/>
  <c r="G18" i="4"/>
  <c r="H18" i="4"/>
  <c r="I18" i="4"/>
  <c r="J18" i="4"/>
  <c r="G19" i="4"/>
  <c r="H19" i="4"/>
  <c r="I19" i="4"/>
  <c r="J19" i="4"/>
  <c r="G20" i="4"/>
  <c r="H20" i="4"/>
  <c r="I20" i="4"/>
  <c r="J20" i="4"/>
  <c r="G21" i="4"/>
  <c r="H21" i="4"/>
  <c r="I21" i="4"/>
  <c r="J21" i="4"/>
  <c r="G22" i="4"/>
  <c r="H22" i="4"/>
  <c r="I22" i="4"/>
  <c r="J22" i="4"/>
  <c r="G23" i="4"/>
  <c r="H23" i="4"/>
  <c r="I23" i="4"/>
  <c r="J23" i="4"/>
  <c r="G24" i="4"/>
  <c r="H24" i="4"/>
  <c r="I24" i="4"/>
  <c r="J24" i="4"/>
  <c r="F24" i="4"/>
  <c r="K24" i="4" s="1"/>
  <c r="F3" i="4"/>
  <c r="K3" i="4" s="1"/>
  <c r="F4" i="4"/>
  <c r="K4" i="4" s="1"/>
  <c r="F5" i="4"/>
  <c r="K5" i="4" s="1"/>
  <c r="F6" i="4"/>
  <c r="K6" i="4" s="1"/>
  <c r="F7" i="4"/>
  <c r="K7" i="4" s="1"/>
  <c r="F8" i="4"/>
  <c r="K8" i="4" s="1"/>
  <c r="F9" i="4"/>
  <c r="K9" i="4" s="1"/>
  <c r="F10" i="4"/>
  <c r="K10" i="4" s="1"/>
  <c r="F11" i="4"/>
  <c r="K11" i="4" s="1"/>
  <c r="F12" i="4"/>
  <c r="K12" i="4" s="1"/>
  <c r="F13" i="4"/>
  <c r="K13" i="4" s="1"/>
  <c r="F14" i="4"/>
  <c r="K14" i="4" s="1"/>
  <c r="F15" i="4"/>
  <c r="K15" i="4" s="1"/>
  <c r="F16" i="4"/>
  <c r="K16" i="4" s="1"/>
  <c r="F17" i="4"/>
  <c r="K17" i="4" s="1"/>
  <c r="F18" i="4"/>
  <c r="K18" i="4" s="1"/>
  <c r="F19" i="4"/>
  <c r="K19" i="4" s="1"/>
  <c r="F20" i="4"/>
  <c r="K20" i="4" s="1"/>
  <c r="F21" i="4"/>
  <c r="K21" i="4" s="1"/>
  <c r="F22" i="4"/>
  <c r="K22" i="4" s="1"/>
  <c r="F23" i="4"/>
  <c r="K23" i="4" s="1"/>
  <c r="F2" i="4"/>
  <c r="G85" i="7" l="1"/>
  <c r="G88" i="7" s="1"/>
  <c r="G90" i="7" s="1"/>
  <c r="C153" i="7"/>
  <c r="F152" i="7"/>
  <c r="C151" i="7"/>
  <c r="F155" i="7"/>
  <c r="F150" i="7"/>
  <c r="H153" i="7"/>
  <c r="G80" i="7"/>
  <c r="C88" i="7"/>
  <c r="C90" i="7" s="1"/>
  <c r="E152" i="7"/>
  <c r="D88" i="7"/>
  <c r="D90" i="7" s="1"/>
  <c r="E89" i="7"/>
  <c r="G89" i="7"/>
  <c r="I133" i="7"/>
  <c r="J129" i="7" s="1"/>
  <c r="F153" i="7"/>
  <c r="H152" i="7"/>
  <c r="D152" i="7"/>
  <c r="H150" i="7"/>
  <c r="D150" i="7"/>
  <c r="D153" i="7"/>
  <c r="H151" i="7"/>
  <c r="D151" i="7"/>
  <c r="E150" i="7"/>
  <c r="E155" i="7" s="1"/>
  <c r="F90" i="7"/>
  <c r="E88" i="7"/>
  <c r="E90" i="7" s="1"/>
  <c r="E153" i="7"/>
  <c r="C152" i="7"/>
  <c r="Q50" i="5"/>
  <c r="U17" i="5"/>
  <c r="D7" i="7"/>
  <c r="I7" i="7"/>
  <c r="J5" i="7" s="1"/>
  <c r="F11" i="7" s="1"/>
  <c r="D49" i="7"/>
  <c r="C13" i="7"/>
  <c r="D46" i="7"/>
  <c r="D47" i="7"/>
  <c r="O6" i="7"/>
  <c r="O5" i="7"/>
  <c r="G11" i="7"/>
  <c r="G13" i="7" s="1"/>
  <c r="F7" i="7"/>
  <c r="N7" i="7"/>
  <c r="D11" i="7"/>
  <c r="D13" i="7" s="1"/>
  <c r="H11" i="7"/>
  <c r="H13" i="7" s="1"/>
  <c r="G7" i="7"/>
  <c r="H5" i="7" s="1"/>
  <c r="C155" i="7" l="1"/>
  <c r="D155" i="7"/>
  <c r="G155" i="7"/>
  <c r="J128" i="7"/>
  <c r="J127" i="7"/>
  <c r="J131" i="7"/>
  <c r="H155" i="7"/>
  <c r="O7" i="7"/>
  <c r="P6" i="7" s="1"/>
  <c r="I12" i="7" s="1"/>
  <c r="J130" i="7"/>
  <c r="J6" i="7"/>
  <c r="F12" i="7" s="1"/>
  <c r="H6" i="7"/>
  <c r="E12" i="7" s="1"/>
  <c r="D51" i="7"/>
  <c r="E11" i="7"/>
  <c r="J7" i="7"/>
  <c r="F13" i="7"/>
  <c r="P5" i="7"/>
  <c r="J133" i="7" l="1"/>
  <c r="H7" i="7"/>
  <c r="E13" i="7"/>
  <c r="I11" i="7"/>
  <c r="I13" i="7" s="1"/>
  <c r="P7" i="7"/>
  <c r="D10" i="8"/>
  <c r="E10" i="8" s="1"/>
</calcChain>
</file>

<file path=xl/sharedStrings.xml><?xml version="1.0" encoding="utf-8"?>
<sst xmlns="http://schemas.openxmlformats.org/spreadsheetml/2006/main" count="1674" uniqueCount="150">
  <si>
    <t>NÃO</t>
  </si>
  <si>
    <t>SIM</t>
  </si>
  <si>
    <t>Violência Sexual</t>
  </si>
  <si>
    <t>Violência Psicológica, Violência Moral, Violência Sexual</t>
  </si>
  <si>
    <t>Violência Psicológica, Violência Sexual</t>
  </si>
  <si>
    <t>Violência Psicológica, Violência Moral, Violência Patrimonial, Violência Física, Violência Sexual</t>
  </si>
  <si>
    <t>Violência Moral, Violência Sexual</t>
  </si>
  <si>
    <t>Violência Psicológica, Violência Moral, Violência Física, Violência Sexual</t>
  </si>
  <si>
    <t>Violência Psicológica, Violência Moral</t>
  </si>
  <si>
    <t>Violência Psicológica</t>
  </si>
  <si>
    <t>Violência Psicológica, Violência Moral, Violência Física</t>
  </si>
  <si>
    <t>Violência Moral</t>
  </si>
  <si>
    <t>Violência Psicológica, Violência Patrimonial</t>
  </si>
  <si>
    <t>Violência Psicológica, Violência Física</t>
  </si>
  <si>
    <t>AFA</t>
  </si>
  <si>
    <t>CADETES</t>
  </si>
  <si>
    <t>9/18/2025 9:11:14</t>
  </si>
  <si>
    <t>9/18/2025 9:11:20</t>
  </si>
  <si>
    <t>9/18/2025 9:11:25</t>
  </si>
  <si>
    <t>9/18/2025 9:11:30</t>
  </si>
  <si>
    <t>9/18/2025 9:11:34</t>
  </si>
  <si>
    <t>9/18/2025 9:11:38</t>
  </si>
  <si>
    <t>9/18/2025 9:11:45</t>
  </si>
  <si>
    <t>9/18/2025 9:11:49</t>
  </si>
  <si>
    <t>9/18/2025 9:11:54</t>
  </si>
  <si>
    <t>9/18/2025 9:11:58</t>
  </si>
  <si>
    <t>9/18/2025 9:12:03</t>
  </si>
  <si>
    <t>9/18/2025 9:35:26</t>
  </si>
  <si>
    <t>9/18/2025 9:35:36</t>
  </si>
  <si>
    <t>9/18/2025 9:35:46</t>
  </si>
  <si>
    <t>9/18/2025 9:35:56</t>
  </si>
  <si>
    <t>9/18/2025 9:36:13</t>
  </si>
  <si>
    <t>Violência Psicológica, Violência Moral, Violência Patrimonial</t>
  </si>
  <si>
    <t>9/18/2025 9:36:27</t>
  </si>
  <si>
    <t>9/18/2025 9:36:38</t>
  </si>
  <si>
    <t>9/18/2025 9:36:49</t>
  </si>
  <si>
    <t>9/18/2025 9:37:07</t>
  </si>
  <si>
    <t>Violência Psicológica, Violência Moral, Violência Patrimonial, Violência Sexual</t>
  </si>
  <si>
    <t>9/18/2025 9:37:18</t>
  </si>
  <si>
    <t>9/18/2025 9:37:31</t>
  </si>
  <si>
    <t>9/18/2025 9:37:43</t>
  </si>
  <si>
    <t>Violência Psicológica, Violência Fisica</t>
  </si>
  <si>
    <t>9/18/2025 9:37:59</t>
  </si>
  <si>
    <t>9/18/2025 9:38:09</t>
  </si>
  <si>
    <t>9/18/2025 9:38:20</t>
  </si>
  <si>
    <t>9/18/2025 9:38:31</t>
  </si>
  <si>
    <t>9/18/2025 9:38:42</t>
  </si>
  <si>
    <t>9/18/2025 9:38:59</t>
  </si>
  <si>
    <t>Violência Psicológica, Violência Moral, Violência Fisica, Violência Sexual</t>
  </si>
  <si>
    <t>9/18/2025 9:39:11</t>
  </si>
  <si>
    <t>9/18/2025 9:39:26</t>
  </si>
  <si>
    <t>Violência Psicológica, Violência Moral, Violência Fisica</t>
  </si>
  <si>
    <t>9/18/2025 9:39:38</t>
  </si>
  <si>
    <t>9/18/2025 9:39:51</t>
  </si>
  <si>
    <t>9/18/2025 9:40:05</t>
  </si>
  <si>
    <t>9/18/2025 9:40:19</t>
  </si>
  <si>
    <t>9/18/2025 9:40:33</t>
  </si>
  <si>
    <t>9/18/2025 9:40:43</t>
  </si>
  <si>
    <t>9/18/2025 9:41:09</t>
  </si>
  <si>
    <t>Violência Psicológica, Violência Moral, Violência Patrimonial, Violência Fisica</t>
  </si>
  <si>
    <t>9/18/2025 9:41:17</t>
  </si>
  <si>
    <t>EFETIVO</t>
  </si>
  <si>
    <t>Graduado</t>
  </si>
  <si>
    <t>Branca</t>
  </si>
  <si>
    <t>Amarela</t>
  </si>
  <si>
    <t>Oficial</t>
  </si>
  <si>
    <t>Parda</t>
  </si>
  <si>
    <t>Violência Física</t>
  </si>
  <si>
    <t>Preta</t>
  </si>
  <si>
    <t>Violência Psicológica, Violência Moral, Violência Sexual, Violência Física</t>
  </si>
  <si>
    <t>Violência Psicológica, Violência Patrimonial, Violência Sexual, Violência Física</t>
  </si>
  <si>
    <t>Coluna1</t>
  </si>
  <si>
    <t>COMGEP</t>
  </si>
  <si>
    <t>Violência Psicológica, Violência Moral, Violência Patrimonial, Violência Sexual, Violência Física</t>
  </si>
  <si>
    <t>Violência Moral, Violência Sexual, Violência Física</t>
  </si>
  <si>
    <t>EAOF</t>
  </si>
  <si>
    <t>CIAAR</t>
  </si>
  <si>
    <t>(vazio)</t>
  </si>
  <si>
    <t>Total Geral</t>
  </si>
  <si>
    <t>1Carimbo de data/hora</t>
  </si>
  <si>
    <t>2Você já sofreu violência?</t>
  </si>
  <si>
    <t>3Qual tipo de violência você sofreu?</t>
  </si>
  <si>
    <t>4POSTO / GRADUAÇÃO</t>
  </si>
  <si>
    <t>5OM</t>
  </si>
  <si>
    <t>6POSTO</t>
  </si>
  <si>
    <t>7Como você se autodeclara:</t>
  </si>
  <si>
    <t>Contagem de 2Você já sofreu violência?</t>
  </si>
  <si>
    <t>Total</t>
  </si>
  <si>
    <t>Contagem de 3Qual tipo de violência você sofreu?</t>
  </si>
  <si>
    <t>Contagem de 4POSTO / GRADUAÇÃO</t>
  </si>
  <si>
    <t>Contagem de 5OM</t>
  </si>
  <si>
    <t>Contagem de 7Como você se autodeclara:</t>
  </si>
  <si>
    <t xml:space="preserve"> Violência Sexual</t>
  </si>
  <si>
    <t xml:space="preserve"> Violência Física</t>
  </si>
  <si>
    <t xml:space="preserve"> Violência Fisica</t>
  </si>
  <si>
    <t xml:space="preserve"> Violência Moral</t>
  </si>
  <si>
    <t xml:space="preserve"> Violência Patrimonial</t>
  </si>
  <si>
    <t>QTD VIOLENCIA</t>
  </si>
  <si>
    <t>QTD DE MILITARES</t>
  </si>
  <si>
    <t>N</t>
  </si>
  <si>
    <t>Violência Patrimonial</t>
  </si>
  <si>
    <t>Sofreu violência</t>
  </si>
  <si>
    <t>Não</t>
  </si>
  <si>
    <t>Sim</t>
  </si>
  <si>
    <t>EEAR</t>
  </si>
  <si>
    <t>Qtd</t>
  </si>
  <si>
    <t>%</t>
  </si>
  <si>
    <t>CADETES Total</t>
  </si>
  <si>
    <t>EFETIVO Total</t>
  </si>
  <si>
    <t>(vazio) Total</t>
  </si>
  <si>
    <t>AFA Cadete</t>
  </si>
  <si>
    <t>AFA Efetivo</t>
  </si>
  <si>
    <t>CIAAR EAOF</t>
  </si>
  <si>
    <t>EEAR Efetivo</t>
  </si>
  <si>
    <t>Efetivo</t>
  </si>
  <si>
    <t>Aluna</t>
  </si>
  <si>
    <t>OE/OM</t>
  </si>
  <si>
    <t>POSTO E GRADUAÇÃO</t>
  </si>
  <si>
    <t>Discente</t>
  </si>
  <si>
    <t>Graduado e Oficial</t>
  </si>
  <si>
    <t>Posto/Graduação</t>
  </si>
  <si>
    <t>AFA Discente</t>
  </si>
  <si>
    <t>EEAR Discente</t>
  </si>
  <si>
    <t>CIAAR Discente</t>
  </si>
  <si>
    <t>Graduada e Oficial</t>
  </si>
  <si>
    <t>Alunas</t>
  </si>
  <si>
    <t>AFA/CIAAR/COMGEP/</t>
  </si>
  <si>
    <t>Violência</t>
  </si>
  <si>
    <t>Tipo de Violência</t>
  </si>
  <si>
    <t>Tipo de Violência por OE/OM</t>
  </si>
  <si>
    <t>Hipóteses</t>
  </si>
  <si>
    <t>Valores Observados</t>
  </si>
  <si>
    <t>Valores Esperados</t>
  </si>
  <si>
    <t>Qui Quadrado</t>
  </si>
  <si>
    <t>Beta</t>
  </si>
  <si>
    <t>L</t>
  </si>
  <si>
    <t>C</t>
  </si>
  <si>
    <r>
      <t xml:space="preserve">Grau de Liberdade e </t>
    </r>
    <r>
      <rPr>
        <b/>
        <sz val="11"/>
        <color theme="0"/>
        <rFont val="Calibri"/>
        <family val="2"/>
      </rPr>
      <t>α</t>
    </r>
  </si>
  <si>
    <t>GL</t>
  </si>
  <si>
    <t>α</t>
  </si>
  <si>
    <r>
      <t>χ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tabelado</t>
    </r>
  </si>
  <si>
    <r>
      <t>χ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calculado</t>
    </r>
  </si>
  <si>
    <t>RA</t>
  </si>
  <si>
    <t>RR</t>
  </si>
  <si>
    <t>Não rejeita H0</t>
  </si>
  <si>
    <t>Decisão</t>
  </si>
  <si>
    <t>Hipótese nula: A distribuição dos tipos de violência é a mesma entre as OE/OM.</t>
  </si>
  <si>
    <t>Hipótese alternativa: A distribuição dos tipos de violência difere entre as OE/OM</t>
  </si>
  <si>
    <t>não houve evidência estatística de que a distribuição dos tipos de violência varie entre as OE/OM.</t>
  </si>
  <si>
    <t xml:space="preserve">Decisão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</si>
</sst>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\ h:mm:ss"/>
    <numFmt numFmtId="165" formatCode="0.000"/>
    <numFmt numFmtId="166" formatCode="0.0%"/>
    <numFmt numFmtId="167" formatCode="0.0"/>
  </numFmts>
  <fonts count="16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1"/>
      <color rgb="FF202124"/>
      <name val="Roboto-Regula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sz val="10"/>
      <color rgb="FF202124"/>
      <name val="Roboto-Regular"/>
    </font>
    <font>
      <b/>
      <i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7" fillId="3" borderId="0" applyNumberFormat="0" applyBorder="0" applyAlignment="0" applyProtection="0"/>
    <xf numFmtId="0" fontId="15" fillId="0" borderId="0"/>
  </cellStyleXfs>
  <cellXfs count="130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pivotButt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0" xfId="0" applyNumberFormat="1"/>
    <xf numFmtId="0" fontId="0" fillId="0" borderId="0" xfId="0" applyNumberFormat="1"/>
    <xf numFmtId="0" fontId="0" fillId="0" borderId="8" xfId="0" applyBorder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/>
    </xf>
    <xf numFmtId="165" fontId="0" fillId="0" borderId="0" xfId="0" applyNumberFormat="1"/>
    <xf numFmtId="2" fontId="0" fillId="0" borderId="8" xfId="0" applyNumberFormat="1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0" xfId="1" applyFont="1"/>
    <xf numFmtId="166" fontId="0" fillId="0" borderId="0" xfId="1" applyNumberFormat="1" applyFont="1"/>
    <xf numFmtId="166" fontId="0" fillId="0" borderId="8" xfId="1" applyNumberFormat="1" applyFont="1" applyBorder="1"/>
    <xf numFmtId="167" fontId="0" fillId="0" borderId="0" xfId="0" applyNumberFormat="1"/>
    <xf numFmtId="1" fontId="0" fillId="0" borderId="8" xfId="0" applyNumberFormat="1" applyBorder="1"/>
    <xf numFmtId="1" fontId="8" fillId="0" borderId="0" xfId="0" applyNumberFormat="1" applyFont="1"/>
    <xf numFmtId="1" fontId="8" fillId="0" borderId="8" xfId="0" applyNumberFormat="1" applyFont="1" applyBorder="1"/>
    <xf numFmtId="0" fontId="0" fillId="4" borderId="8" xfId="0" applyFill="1" applyBorder="1" applyAlignment="1">
      <alignment horizontal="center"/>
    </xf>
    <xf numFmtId="0" fontId="9" fillId="4" borderId="8" xfId="0" applyFont="1" applyFill="1" applyBorder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0" xfId="1" applyNumberFormat="1" applyFont="1"/>
    <xf numFmtId="2" fontId="0" fillId="0" borderId="8" xfId="1" applyNumberFormat="1" applyFont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8" xfId="0" applyNumberForma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167" fontId="0" fillId="0" borderId="16" xfId="1" applyNumberFormat="1" applyFont="1" applyBorder="1" applyAlignment="1">
      <alignment horizontal="center"/>
    </xf>
    <xf numFmtId="0" fontId="0" fillId="0" borderId="11" xfId="0" applyBorder="1"/>
    <xf numFmtId="167" fontId="0" fillId="0" borderId="12" xfId="1" applyNumberFormat="1" applyFont="1" applyBorder="1" applyAlignment="1">
      <alignment horizontal="center"/>
    </xf>
    <xf numFmtId="1" fontId="8" fillId="0" borderId="15" xfId="0" applyNumberFormat="1" applyFont="1" applyBorder="1"/>
    <xf numFmtId="1" fontId="8" fillId="0" borderId="11" xfId="0" applyNumberFormat="1" applyFont="1" applyBorder="1"/>
    <xf numFmtId="0" fontId="0" fillId="0" borderId="0" xfId="0" applyFill="1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0" xfId="0" applyFill="1"/>
    <xf numFmtId="167" fontId="8" fillId="4" borderId="0" xfId="0" applyNumberFormat="1" applyFont="1" applyFill="1"/>
    <xf numFmtId="1" fontId="0" fillId="4" borderId="0" xfId="1" applyNumberFormat="1" applyFont="1" applyFill="1" applyAlignment="1">
      <alignment horizontal="center"/>
    </xf>
    <xf numFmtId="167" fontId="8" fillId="4" borderId="15" xfId="0" applyNumberFormat="1" applyFont="1" applyFill="1" applyBorder="1"/>
    <xf numFmtId="167" fontId="0" fillId="4" borderId="0" xfId="1" applyNumberFormat="1" applyFont="1" applyFill="1" applyAlignment="1">
      <alignment horizontal="center"/>
    </xf>
    <xf numFmtId="0" fontId="0" fillId="4" borderId="8" xfId="0" applyFill="1" applyBorder="1"/>
    <xf numFmtId="167" fontId="8" fillId="4" borderId="8" xfId="0" applyNumberFormat="1" applyFont="1" applyFill="1" applyBorder="1"/>
    <xf numFmtId="167" fontId="0" fillId="4" borderId="8" xfId="1" applyNumberFormat="1" applyFont="1" applyFill="1" applyBorder="1" applyAlignment="1">
      <alignment horizontal="center"/>
    </xf>
    <xf numFmtId="167" fontId="0" fillId="4" borderId="12" xfId="1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7" xfId="0" applyFont="1" applyBorder="1"/>
    <xf numFmtId="0" fontId="0" fillId="0" borderId="7" xfId="0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0" fillId="0" borderId="7" xfId="1" applyNumberFormat="1" applyFont="1" applyBorder="1" applyAlignment="1">
      <alignment horizontal="center"/>
    </xf>
    <xf numFmtId="167" fontId="0" fillId="0" borderId="7" xfId="0" applyNumberFormat="1" applyBorder="1"/>
    <xf numFmtId="2" fontId="0" fillId="0" borderId="7" xfId="0" applyNumberFormat="1" applyBorder="1" applyAlignment="1">
      <alignment horizontal="center"/>
    </xf>
    <xf numFmtId="2" fontId="0" fillId="0" borderId="7" xfId="0" applyNumberFormat="1" applyBorder="1"/>
    <xf numFmtId="167" fontId="0" fillId="0" borderId="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7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1" fontId="2" fillId="0" borderId="0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167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" fontId="2" fillId="0" borderId="19" xfId="1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2" fontId="2" fillId="0" borderId="7" xfId="1" applyNumberFormat="1" applyFont="1" applyBorder="1" applyAlignment="1">
      <alignment horizontal="center" vertical="center"/>
    </xf>
    <xf numFmtId="2" fontId="2" fillId="0" borderId="8" xfId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2" fillId="0" borderId="8" xfId="1" applyNumberFormat="1" applyFont="1" applyBorder="1" applyAlignment="1">
      <alignment horizontal="center" vertical="center"/>
    </xf>
    <xf numFmtId="0" fontId="11" fillId="3" borderId="0" xfId="2" applyFont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13" fillId="0" borderId="7" xfId="0" applyFont="1" applyBorder="1"/>
    <xf numFmtId="9" fontId="0" fillId="0" borderId="7" xfId="0" applyNumberFormat="1" applyBorder="1"/>
    <xf numFmtId="0" fontId="6" fillId="0" borderId="0" xfId="0" applyFont="1" applyAlignment="1">
      <alignment horizontal="center"/>
    </xf>
    <xf numFmtId="0" fontId="6" fillId="0" borderId="7" xfId="0" applyFont="1" applyBorder="1"/>
    <xf numFmtId="165" fontId="0" fillId="0" borderId="7" xfId="1" applyNumberFormat="1" applyFont="1" applyBorder="1" applyAlignment="1">
      <alignment horizontal="center"/>
    </xf>
  </cellXfs>
  <cellStyles count="4">
    <cellStyle name="Ênfase5" xfId="2" builtinId="45"/>
    <cellStyle name="Normal" xfId="0" builtinId="0"/>
    <cellStyle name="Normal 2" xfId="3" xr:uid="{18B4D5BF-58B7-44B5-B79B-5EC395BA9D55}"/>
    <cellStyle name="Porcentagem" xfId="1" builtinId="5"/>
  </cellStyles>
  <dxfs count="11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ostas ao formulário 1-style" pivot="0" count="4" xr9:uid="{30EE9BF2-FE34-49E0-A172-1D8C02A3CA18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colors>
    <mruColors>
      <color rgb="FFEB6B6A"/>
      <color rgb="FFD86436"/>
      <color rgb="FF6B72AA"/>
      <color rgb="FF3D8AF6"/>
      <color rgb="FFDA2A00"/>
      <color rgb="FFFF3300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TABELAS!$B$11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6B72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TABELAS!$C$9:$H$9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TABELAS!$C$11:$H$11</c:f>
              <c:numCache>
                <c:formatCode>0.00</c:formatCode>
                <c:ptCount val="6"/>
                <c:pt idx="0">
                  <c:v>45.054945054945058</c:v>
                </c:pt>
                <c:pt idx="1">
                  <c:v>28.205128205128204</c:v>
                </c:pt>
                <c:pt idx="2">
                  <c:v>52.742616033755276</c:v>
                </c:pt>
                <c:pt idx="3">
                  <c:v>41.592920353982301</c:v>
                </c:pt>
                <c:pt idx="4">
                  <c:v>18.181818181818183</c:v>
                </c:pt>
                <c:pt idx="5">
                  <c:v>20.512820512820511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3-4963-9296-56A3ED6D3876}"/>
            </c:ext>
          </c:extLst>
        </c:ser>
        <c:ser>
          <c:idx val="1"/>
          <c:order val="1"/>
          <c:tx>
            <c:strRef>
              <c:f>TABELAS!$B$12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EB6B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TABELAS!$C$9:$H$9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TABELAS!$C$12:$H$12</c:f>
              <c:numCache>
                <c:formatCode>0.00</c:formatCode>
                <c:ptCount val="6"/>
                <c:pt idx="0">
                  <c:v>54.945054945054949</c:v>
                </c:pt>
                <c:pt idx="1">
                  <c:v>71.794871794871796</c:v>
                </c:pt>
                <c:pt idx="2">
                  <c:v>47.257383966244724</c:v>
                </c:pt>
                <c:pt idx="3">
                  <c:v>58.407079646017699</c:v>
                </c:pt>
                <c:pt idx="4">
                  <c:v>81.818181818181827</c:v>
                </c:pt>
                <c:pt idx="5">
                  <c:v>79.487179487179489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3-4963-9296-56A3ED6D3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953856528"/>
        <c:axId val="953851728"/>
      </c:barChart>
      <c:catAx>
        <c:axId val="95385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OE/OM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1728"/>
        <c:crosses val="autoZero"/>
        <c:auto val="1"/>
        <c:lblAlgn val="ctr"/>
        <c:lblOffset val="100"/>
        <c:noMultiLvlLbl val="0"/>
      </c:catAx>
      <c:valAx>
        <c:axId val="953851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Percentual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TABELAS!$B$11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6B72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TABELAS!$C$9:$H$9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TABELAS!$C$11:$H$11</c:f>
              <c:numCache>
                <c:formatCode>0.00</c:formatCode>
                <c:ptCount val="6"/>
                <c:pt idx="0">
                  <c:v>45.054945054945058</c:v>
                </c:pt>
                <c:pt idx="1">
                  <c:v>28.205128205128204</c:v>
                </c:pt>
                <c:pt idx="2">
                  <c:v>52.742616033755276</c:v>
                </c:pt>
                <c:pt idx="3">
                  <c:v>41.592920353982301</c:v>
                </c:pt>
                <c:pt idx="4">
                  <c:v>18.181818181818183</c:v>
                </c:pt>
                <c:pt idx="5">
                  <c:v>20.512820512820511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196-B759-6FA0508CA09C}"/>
            </c:ext>
          </c:extLst>
        </c:ser>
        <c:ser>
          <c:idx val="1"/>
          <c:order val="1"/>
          <c:tx>
            <c:strRef>
              <c:f>TABELAS!$B$12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EB6B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TABELAS!$C$9:$H$9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TABELAS!$C$12:$H$12</c:f>
              <c:numCache>
                <c:formatCode>0.00</c:formatCode>
                <c:ptCount val="6"/>
                <c:pt idx="0">
                  <c:v>54.945054945054949</c:v>
                </c:pt>
                <c:pt idx="1">
                  <c:v>71.794871794871796</c:v>
                </c:pt>
                <c:pt idx="2">
                  <c:v>47.257383966244724</c:v>
                </c:pt>
                <c:pt idx="3">
                  <c:v>58.407079646017699</c:v>
                </c:pt>
                <c:pt idx="4">
                  <c:v>81.818181818181827</c:v>
                </c:pt>
                <c:pt idx="5">
                  <c:v>79.487179487179489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C-4196-B759-6FA0508CA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100"/>
        <c:axId val="953856528"/>
        <c:axId val="953851728"/>
      </c:barChart>
      <c:catAx>
        <c:axId val="95385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OE/OM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1728"/>
        <c:crosses val="autoZero"/>
        <c:auto val="1"/>
        <c:lblAlgn val="ctr"/>
        <c:lblOffset val="100"/>
        <c:noMultiLvlLbl val="0"/>
      </c:catAx>
      <c:valAx>
        <c:axId val="95385172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Percentual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B72A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B72AA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6B72AA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TABELAS!$B$46:$B$49</c:f>
              <c:strCache>
                <c:ptCount val="4"/>
                <c:pt idx="0">
                  <c:v>COMGEP</c:v>
                </c:pt>
                <c:pt idx="1">
                  <c:v>CIAAR</c:v>
                </c:pt>
                <c:pt idx="2">
                  <c:v>AFA</c:v>
                </c:pt>
                <c:pt idx="3">
                  <c:v>EEAR</c:v>
                </c:pt>
              </c:strCache>
            </c:strRef>
          </c:cat>
          <c:val>
            <c:numRef>
              <c:f>TABELAS!$D$46:$D$49</c:f>
              <c:numCache>
                <c:formatCode>0.00</c:formatCode>
                <c:ptCount val="4"/>
                <c:pt idx="0">
                  <c:v>6.7944250871080136</c:v>
                </c:pt>
                <c:pt idx="1">
                  <c:v>9.5818815331010452</c:v>
                </c:pt>
                <c:pt idx="2">
                  <c:v>22.648083623693381</c:v>
                </c:pt>
                <c:pt idx="3">
                  <c:v>60.975609756097562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0-4E6E-868A-7EA156D84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953856528"/>
        <c:axId val="953851728"/>
      </c:barChart>
      <c:catAx>
        <c:axId val="95385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OE/OM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1728"/>
        <c:crosses val="autoZero"/>
        <c:auto val="1"/>
        <c:lblAlgn val="ctr"/>
        <c:lblOffset val="100"/>
        <c:noMultiLvlLbl val="0"/>
      </c:catAx>
      <c:valAx>
        <c:axId val="95385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Percentual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6B72AA"/>
            </a:solidFill>
            <a:ln>
              <a:noFill/>
            </a:ln>
          </c:spPr>
          <c:dPt>
            <c:idx val="0"/>
            <c:bubble3D val="0"/>
            <c:spPr>
              <a:solidFill>
                <a:srgbClr val="6B72A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77-4E9E-AA59-8BB94D9017DC}"/>
              </c:ext>
            </c:extLst>
          </c:dPt>
          <c:dPt>
            <c:idx val="1"/>
            <c:bubble3D val="0"/>
            <c:spPr>
              <a:solidFill>
                <a:srgbClr val="EB6B6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77-4E9E-AA59-8BB94D9017DC}"/>
              </c:ext>
            </c:extLst>
          </c:dPt>
          <c:dLbls>
            <c:dLbl>
              <c:idx val="0"/>
              <c:layout>
                <c:manualLayout>
                  <c:x val="8.5323378070863515E-2"/>
                  <c:y val="2.60084871339903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77-4E9E-AA59-8BB94D9017DC}"/>
                </c:ext>
              </c:extLst>
            </c:dLbl>
            <c:dLbl>
              <c:idx val="1"/>
              <c:layout>
                <c:manualLayout>
                  <c:x val="-8.184073261088233E-2"/>
                  <c:y val="-0.159218276720984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77-4E9E-AA59-8BB94D9017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(TABELAS!$B$88,TABELAS!$B$89)</c:f>
              <c:strCache>
                <c:ptCount val="2"/>
                <c:pt idx="0">
                  <c:v>Discente</c:v>
                </c:pt>
                <c:pt idx="1">
                  <c:v>Graduada e Oficial</c:v>
                </c:pt>
              </c:strCache>
            </c:strRef>
          </c:cat>
          <c:val>
            <c:numRef>
              <c:f>(TABELAS!$G$88,TABELAS!$G$89)</c:f>
              <c:numCache>
                <c:formatCode>0.0%</c:formatCode>
                <c:ptCount val="2"/>
                <c:pt idx="0">
                  <c:v>0.66724738675958184</c:v>
                </c:pt>
                <c:pt idx="1">
                  <c:v>0.3327526132404181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7-4E9E-AA59-8BB94D90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B72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0C-466D-8D8B-A464ED159A67}"/>
              </c:ext>
            </c:extLst>
          </c:dPt>
          <c:dPt>
            <c:idx val="1"/>
            <c:bubble3D val="0"/>
            <c:spPr>
              <a:solidFill>
                <a:srgbClr val="EB6B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0C-466D-8D8B-A464ED159A67}"/>
              </c:ext>
            </c:extLst>
          </c:dPt>
          <c:dLbls>
            <c:dLbl>
              <c:idx val="0"/>
              <c:layout>
                <c:manualLayout>
                  <c:x val="7.0893876890270796E-2"/>
                  <c:y val="-8.641977828903814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0C-466D-8D8B-A464ED159A67}"/>
                </c:ext>
              </c:extLst>
            </c:dLbl>
            <c:dLbl>
              <c:idx val="1"/>
              <c:layout>
                <c:manualLayout>
                  <c:x val="-5.5482164522820621E-2"/>
                  <c:y val="-0.164197578749172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0C-466D-8D8B-A464ED159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(TABELAS!$B$100,TABELAS!$B$101)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(TABELAS!$D$100,TABELAS!$D$101)</c:f>
              <c:numCache>
                <c:formatCode>0.0%</c:formatCode>
                <c:ptCount val="2"/>
                <c:pt idx="0">
                  <c:v>0.42160278745644597</c:v>
                </c:pt>
                <c:pt idx="1">
                  <c:v>0.57839721254355403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C-466D-8D8B-A464ED159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B6B6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B6B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6D-49D6-9828-BDDDBB60E0E7}"/>
              </c:ext>
            </c:extLst>
          </c:dPt>
          <c:dPt>
            <c:idx val="1"/>
            <c:invertIfNegative val="0"/>
            <c:bubble3D val="0"/>
            <c:spPr>
              <a:solidFill>
                <a:srgbClr val="EB6B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6D-49D6-9828-BDDDBB60E0E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46D-49D6-9828-BDDDBB60E0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VIOLENCIAS!$N$11:$N$15</c:f>
              <c:strCache>
                <c:ptCount val="5"/>
                <c:pt idx="0">
                  <c:v>Violência Patrimonial</c:v>
                </c:pt>
                <c:pt idx="1">
                  <c:v>Violência Física</c:v>
                </c:pt>
                <c:pt idx="2">
                  <c:v>Violência Sexual</c:v>
                </c:pt>
                <c:pt idx="3">
                  <c:v>Violência Moral</c:v>
                </c:pt>
                <c:pt idx="4">
                  <c:v>Violência Psicológica</c:v>
                </c:pt>
              </c:strCache>
            </c:strRef>
          </c:cat>
          <c:val>
            <c:numRef>
              <c:f>VIOLENCIAS!$V$11:$V$15</c:f>
              <c:numCache>
                <c:formatCode>0.0</c:formatCode>
                <c:ptCount val="5"/>
                <c:pt idx="0">
                  <c:v>6.1764705882352944</c:v>
                </c:pt>
                <c:pt idx="1">
                  <c:v>11.029411764705882</c:v>
                </c:pt>
                <c:pt idx="2">
                  <c:v>16.029411764705884</c:v>
                </c:pt>
                <c:pt idx="3">
                  <c:v>26.764705882352942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6D-49D6-9828-BDDDBB60E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953856528"/>
        <c:axId val="953851728"/>
      </c:barChart>
      <c:catAx>
        <c:axId val="95385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Violência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1728"/>
        <c:crosses val="autoZero"/>
        <c:auto val="1"/>
        <c:lblAlgn val="ctr"/>
        <c:lblOffset val="100"/>
        <c:noMultiLvlLbl val="0"/>
      </c:catAx>
      <c:valAx>
        <c:axId val="95385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Percentual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VIOLENCIAS!$N$44</c:f>
              <c:strCache>
                <c:ptCount val="1"/>
                <c:pt idx="0">
                  <c:v>Violência Patrimonial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98041455920878E-17"/>
                  <c:y val="4.11805539918734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A4-407A-8672-099506121145}"/>
                </c:ext>
              </c:extLst>
            </c:dLbl>
            <c:dLbl>
              <c:idx val="5"/>
              <c:layout>
                <c:manualLayout>
                  <c:x val="0"/>
                  <c:y val="9.55420337951631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A4-407A-8672-0995061211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VIOLENCIAS!$O$44:$T$44</c:f>
              <c:numCache>
                <c:formatCode>0.0</c:formatCode>
                <c:ptCount val="6"/>
                <c:pt idx="0">
                  <c:v>2.4096385542168677</c:v>
                </c:pt>
                <c:pt idx="1">
                  <c:v>7.3529411764705879</c:v>
                </c:pt>
                <c:pt idx="2">
                  <c:v>3.4146341463414638</c:v>
                </c:pt>
                <c:pt idx="3">
                  <c:v>4.7244094488188972</c:v>
                </c:pt>
                <c:pt idx="4">
                  <c:v>11.363636363636363</c:v>
                </c:pt>
                <c:pt idx="5">
                  <c:v>10.769230769230768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A4-407A-8672-099506121145}"/>
            </c:ext>
          </c:extLst>
        </c:ser>
        <c:ser>
          <c:idx val="1"/>
          <c:order val="1"/>
          <c:tx>
            <c:strRef>
              <c:f>VIOLENCIAS!$N$45</c:f>
              <c:strCache>
                <c:ptCount val="1"/>
                <c:pt idx="0">
                  <c:v>Violência Física</c:v>
                </c:pt>
              </c:strCache>
            </c:strRef>
          </c:tx>
          <c:spPr>
            <a:solidFill>
              <a:srgbClr val="D86436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1.1234356821571406E-3"/>
                  <c:y val="0.1077628106940073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A4-407A-8672-0995061211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VIOLENCIAS!$O$45:$T$45</c:f>
              <c:numCache>
                <c:formatCode>0.0</c:formatCode>
                <c:ptCount val="6"/>
                <c:pt idx="0">
                  <c:v>6.024096385542169</c:v>
                </c:pt>
                <c:pt idx="1">
                  <c:v>8.8235294117647047</c:v>
                </c:pt>
                <c:pt idx="2">
                  <c:v>10.731707317073171</c:v>
                </c:pt>
                <c:pt idx="3">
                  <c:v>10.236220472440944</c:v>
                </c:pt>
                <c:pt idx="4">
                  <c:v>16.666666666666664</c:v>
                </c:pt>
                <c:pt idx="5">
                  <c:v>10.769230769230768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A4-407A-8672-099506121145}"/>
            </c:ext>
          </c:extLst>
        </c:ser>
        <c:ser>
          <c:idx val="2"/>
          <c:order val="2"/>
          <c:tx>
            <c:strRef>
              <c:f>VIOLENCIAS!$N$46</c:f>
              <c:strCache>
                <c:ptCount val="1"/>
                <c:pt idx="0">
                  <c:v>Violência Sexual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VIOLENCIAS!$O$46:$T$46</c:f>
              <c:numCache>
                <c:formatCode>0.0</c:formatCode>
                <c:ptCount val="6"/>
                <c:pt idx="0">
                  <c:v>20.481927710843376</c:v>
                </c:pt>
                <c:pt idx="1">
                  <c:v>13.235294117647058</c:v>
                </c:pt>
                <c:pt idx="2">
                  <c:v>16.097560975609756</c:v>
                </c:pt>
                <c:pt idx="3">
                  <c:v>18.110236220472441</c:v>
                </c:pt>
                <c:pt idx="4">
                  <c:v>16.666666666666664</c:v>
                </c:pt>
                <c:pt idx="5">
                  <c:v>7.6923076923076916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A4-407A-8672-099506121145}"/>
            </c:ext>
          </c:extLst>
        </c:ser>
        <c:ser>
          <c:idx val="3"/>
          <c:order val="3"/>
          <c:tx>
            <c:strRef>
              <c:f>VIOLENCIAS!$N$47</c:f>
              <c:strCache>
                <c:ptCount val="1"/>
                <c:pt idx="0">
                  <c:v>Violência Moral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VIOLENCIAS!$O$47:$T$47</c:f>
              <c:numCache>
                <c:formatCode>0.0</c:formatCode>
                <c:ptCount val="6"/>
                <c:pt idx="0">
                  <c:v>32.53012048192771</c:v>
                </c:pt>
                <c:pt idx="1">
                  <c:v>33.823529411764703</c:v>
                </c:pt>
                <c:pt idx="2">
                  <c:v>25.853658536585368</c:v>
                </c:pt>
                <c:pt idx="3">
                  <c:v>25.196850393700785</c:v>
                </c:pt>
                <c:pt idx="4">
                  <c:v>23.484848484848484</c:v>
                </c:pt>
                <c:pt idx="5">
                  <c:v>24.615384615384613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A4-407A-8672-099506121145}"/>
            </c:ext>
          </c:extLst>
        </c:ser>
        <c:ser>
          <c:idx val="4"/>
          <c:order val="4"/>
          <c:tx>
            <c:strRef>
              <c:f>VIOLENCIAS!$N$48</c:f>
              <c:strCache>
                <c:ptCount val="1"/>
                <c:pt idx="0">
                  <c:v>Violência Psicológica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VIOLENCIAS!$O$48:$T$48</c:f>
              <c:numCache>
                <c:formatCode>0.0</c:formatCode>
                <c:ptCount val="6"/>
                <c:pt idx="0">
                  <c:v>38.554216867469883</c:v>
                </c:pt>
                <c:pt idx="1">
                  <c:v>36.764705882352942</c:v>
                </c:pt>
                <c:pt idx="2">
                  <c:v>43.902439024390247</c:v>
                </c:pt>
                <c:pt idx="3">
                  <c:v>41.732283464566926</c:v>
                </c:pt>
                <c:pt idx="4">
                  <c:v>31.818181818181817</c:v>
                </c:pt>
                <c:pt idx="5">
                  <c:v>46.153846153846153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A4-407A-8672-09950612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114124176"/>
        <c:axId val="1114126576"/>
      </c:barChart>
      <c:catAx>
        <c:axId val="111412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OE/OM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4126576"/>
        <c:crosses val="autoZero"/>
        <c:auto val="1"/>
        <c:lblAlgn val="ctr"/>
        <c:lblOffset val="100"/>
        <c:noMultiLvlLbl val="0"/>
      </c:catAx>
      <c:valAx>
        <c:axId val="1114126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Percentual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412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B6B6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B6B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AC6-4B2A-8B2A-8D4BC964A404}"/>
              </c:ext>
            </c:extLst>
          </c:dPt>
          <c:dPt>
            <c:idx val="1"/>
            <c:invertIfNegative val="0"/>
            <c:bubble3D val="0"/>
            <c:spPr>
              <a:solidFill>
                <a:srgbClr val="EB6B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C6-4B2A-8B2A-8D4BC964A40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7AC6-4B2A-8B2A-8D4BC964A4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VIOLENCIAS!$N$11:$N$15</c:f>
              <c:strCache>
                <c:ptCount val="5"/>
                <c:pt idx="0">
                  <c:v>Violência Patrimonial</c:v>
                </c:pt>
                <c:pt idx="1">
                  <c:v>Violência Física</c:v>
                </c:pt>
                <c:pt idx="2">
                  <c:v>Violência Sexual</c:v>
                </c:pt>
                <c:pt idx="3">
                  <c:v>Violência Moral</c:v>
                </c:pt>
                <c:pt idx="4">
                  <c:v>Violência Psicológica</c:v>
                </c:pt>
              </c:strCache>
            </c:strRef>
          </c:cat>
          <c:val>
            <c:numRef>
              <c:f>VIOLENCIAS!$V$11:$V$15</c:f>
              <c:numCache>
                <c:formatCode>0.0</c:formatCode>
                <c:ptCount val="5"/>
                <c:pt idx="0">
                  <c:v>6.1764705882352944</c:v>
                </c:pt>
                <c:pt idx="1">
                  <c:v>11.029411764705882</c:v>
                </c:pt>
                <c:pt idx="2">
                  <c:v>16.029411764705884</c:v>
                </c:pt>
                <c:pt idx="3">
                  <c:v>26.764705882352942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0-4E6E-868A-7EA156D84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953856528"/>
        <c:axId val="953851728"/>
      </c:barChart>
      <c:catAx>
        <c:axId val="95385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1728"/>
        <c:crosses val="autoZero"/>
        <c:auto val="1"/>
        <c:lblAlgn val="ctr"/>
        <c:lblOffset val="100"/>
        <c:noMultiLvlLbl val="0"/>
      </c:catAx>
      <c:valAx>
        <c:axId val="95385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85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VIOLENCIAS!$N$44</c:f>
              <c:strCache>
                <c:ptCount val="1"/>
                <c:pt idx="0">
                  <c:v>Violência Patrimonial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98041455920878E-17"/>
                  <c:y val="4.11805539918734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5D-4774-B084-F6A6CE2C9FFB}"/>
                </c:ext>
              </c:extLst>
            </c:dLbl>
            <c:dLbl>
              <c:idx val="5"/>
              <c:layout>
                <c:manualLayout>
                  <c:x val="0"/>
                  <c:y val="9.55420337951631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5D-4774-B084-F6A6CE2C9F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VIOLENCIAS!$O$44:$T$44</c:f>
              <c:numCache>
                <c:formatCode>0.0</c:formatCode>
                <c:ptCount val="6"/>
                <c:pt idx="0">
                  <c:v>2.4096385542168677</c:v>
                </c:pt>
                <c:pt idx="1">
                  <c:v>7.3529411764705879</c:v>
                </c:pt>
                <c:pt idx="2">
                  <c:v>3.4146341463414638</c:v>
                </c:pt>
                <c:pt idx="3">
                  <c:v>4.7244094488188972</c:v>
                </c:pt>
                <c:pt idx="4">
                  <c:v>11.363636363636363</c:v>
                </c:pt>
                <c:pt idx="5">
                  <c:v>10.769230769230768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D-4774-B084-F6A6CE2C9FFB}"/>
            </c:ext>
          </c:extLst>
        </c:ser>
        <c:ser>
          <c:idx val="1"/>
          <c:order val="1"/>
          <c:tx>
            <c:strRef>
              <c:f>VIOLENCIAS!$N$45</c:f>
              <c:strCache>
                <c:ptCount val="1"/>
                <c:pt idx="0">
                  <c:v>Violência Física</c:v>
                </c:pt>
              </c:strCache>
            </c:strRef>
          </c:tx>
          <c:spPr>
            <a:solidFill>
              <a:srgbClr val="D86436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1.1234356821571406E-3"/>
                  <c:y val="0.1077628106940073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5D-4774-B084-F6A6CE2C9F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VIOLENCIAS!$O$45:$T$45</c:f>
              <c:numCache>
                <c:formatCode>0.0</c:formatCode>
                <c:ptCount val="6"/>
                <c:pt idx="0">
                  <c:v>6.024096385542169</c:v>
                </c:pt>
                <c:pt idx="1">
                  <c:v>8.8235294117647047</c:v>
                </c:pt>
                <c:pt idx="2">
                  <c:v>10.731707317073171</c:v>
                </c:pt>
                <c:pt idx="3">
                  <c:v>10.236220472440944</c:v>
                </c:pt>
                <c:pt idx="4">
                  <c:v>16.666666666666664</c:v>
                </c:pt>
                <c:pt idx="5">
                  <c:v>10.769230769230768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D-4774-B084-F6A6CE2C9FFB}"/>
            </c:ext>
          </c:extLst>
        </c:ser>
        <c:ser>
          <c:idx val="2"/>
          <c:order val="2"/>
          <c:tx>
            <c:strRef>
              <c:f>VIOLENCIAS!$N$46</c:f>
              <c:strCache>
                <c:ptCount val="1"/>
                <c:pt idx="0">
                  <c:v>Violência Sexual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VIOLENCIAS!$O$46:$T$46</c:f>
              <c:numCache>
                <c:formatCode>0.0</c:formatCode>
                <c:ptCount val="6"/>
                <c:pt idx="0">
                  <c:v>20.481927710843376</c:v>
                </c:pt>
                <c:pt idx="1">
                  <c:v>13.235294117647058</c:v>
                </c:pt>
                <c:pt idx="2">
                  <c:v>16.097560975609756</c:v>
                </c:pt>
                <c:pt idx="3">
                  <c:v>18.110236220472441</c:v>
                </c:pt>
                <c:pt idx="4">
                  <c:v>16.666666666666664</c:v>
                </c:pt>
                <c:pt idx="5">
                  <c:v>7.6923076923076916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D-4774-B084-F6A6CE2C9FFB}"/>
            </c:ext>
          </c:extLst>
        </c:ser>
        <c:ser>
          <c:idx val="3"/>
          <c:order val="3"/>
          <c:tx>
            <c:strRef>
              <c:f>VIOLENCIAS!$N$47</c:f>
              <c:strCache>
                <c:ptCount val="1"/>
                <c:pt idx="0">
                  <c:v>Violência Moral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VIOLENCIAS!$O$47:$T$47</c:f>
              <c:numCache>
                <c:formatCode>0.0</c:formatCode>
                <c:ptCount val="6"/>
                <c:pt idx="0">
                  <c:v>32.53012048192771</c:v>
                </c:pt>
                <c:pt idx="1">
                  <c:v>33.823529411764703</c:v>
                </c:pt>
                <c:pt idx="2">
                  <c:v>25.853658536585368</c:v>
                </c:pt>
                <c:pt idx="3">
                  <c:v>25.196850393700785</c:v>
                </c:pt>
                <c:pt idx="4">
                  <c:v>23.484848484848484</c:v>
                </c:pt>
                <c:pt idx="5">
                  <c:v>24.615384615384613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5D-4774-B084-F6A6CE2C9FFB}"/>
            </c:ext>
          </c:extLst>
        </c:ser>
        <c:ser>
          <c:idx val="4"/>
          <c:order val="4"/>
          <c:tx>
            <c:strRef>
              <c:f>VIOLENCIAS!$N$48</c:f>
              <c:strCache>
                <c:ptCount val="1"/>
                <c:pt idx="0">
                  <c:v>Violência Psicológica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VIOLENCIAS!$O$42:$T$43</c:f>
              <c:strCache>
                <c:ptCount val="6"/>
                <c:pt idx="0">
                  <c:v>AFA Discente</c:v>
                </c:pt>
                <c:pt idx="1">
                  <c:v>AFA Efetivo</c:v>
                </c:pt>
                <c:pt idx="2">
                  <c:v>EEAR Discente</c:v>
                </c:pt>
                <c:pt idx="3">
                  <c:v>EEAR Efetivo</c:v>
                </c:pt>
                <c:pt idx="4">
                  <c:v>CIAAR Discente</c:v>
                </c:pt>
                <c:pt idx="5">
                  <c:v>COMGEP</c:v>
                </c:pt>
              </c:strCache>
            </c:strRef>
          </c:cat>
          <c:val>
            <c:numRef>
              <c:f>VIOLENCIAS!$O$48:$T$48</c:f>
              <c:numCache>
                <c:formatCode>0.0</c:formatCode>
                <c:ptCount val="6"/>
                <c:pt idx="0">
                  <c:v>38.554216867469883</c:v>
                </c:pt>
                <c:pt idx="1">
                  <c:v>36.764705882352942</c:v>
                </c:pt>
                <c:pt idx="2">
                  <c:v>43.902439024390247</c:v>
                </c:pt>
                <c:pt idx="3">
                  <c:v>41.732283464566926</c:v>
                </c:pt>
                <c:pt idx="4">
                  <c:v>31.818181818181817</c:v>
                </c:pt>
                <c:pt idx="5">
                  <c:v>46.153846153846153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5D-4774-B084-F6A6CE2C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114124176"/>
        <c:axId val="1114126576"/>
      </c:barChart>
      <c:catAx>
        <c:axId val="111412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OE/OM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4126576"/>
        <c:crosses val="autoZero"/>
        <c:auto val="1"/>
        <c:lblAlgn val="ctr"/>
        <c:lblOffset val="100"/>
        <c:noMultiLvlLbl val="0"/>
      </c:catAx>
      <c:valAx>
        <c:axId val="1114126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Percentual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412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7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8.png"/><Relationship Id="rId7" Type="http://schemas.openxmlformats.org/officeDocument/2006/relationships/chart" Target="../charts/chart8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257174</xdr:colOff>
      <xdr:row>3</xdr:row>
      <xdr:rowOff>38100</xdr:rowOff>
    </xdr:from>
    <xdr:to>
      <xdr:col>27</xdr:col>
      <xdr:colOff>121919</xdr:colOff>
      <xdr:row>12</xdr:row>
      <xdr:rowOff>95250</xdr:rowOff>
    </xdr:to>
    <xdr:sp macro="" textlink="">
      <xdr:nvSpPr>
        <xdr:cNvPr id="11" name="Freeform 8">
          <a:extLst>
            <a:ext uri="{FF2B5EF4-FFF2-40B4-BE49-F238E27FC236}">
              <a16:creationId xmlns:a16="http://schemas.microsoft.com/office/drawing/2014/main" id="{6ACEFDF2-0A98-D3B4-A1CE-2C808406954E}"/>
            </a:ext>
          </a:extLst>
        </xdr:cNvPr>
        <xdr:cNvSpPr/>
      </xdr:nvSpPr>
      <xdr:spPr>
        <a:xfrm>
          <a:off x="13668374" y="6553200"/>
          <a:ext cx="2912745" cy="1685925"/>
        </a:xfrm>
        <a:custGeom>
          <a:avLst/>
          <a:gdLst/>
          <a:ahLst/>
          <a:cxnLst/>
          <a:rect l="l" t="t" r="r" b="b"/>
          <a:pathLst>
            <a:path w="6834006" h="4080172">
              <a:moveTo>
                <a:pt x="0" y="0"/>
              </a:moveTo>
              <a:lnTo>
                <a:pt x="6834006" y="0"/>
              </a:lnTo>
              <a:lnTo>
                <a:pt x="6834006" y="4080172"/>
              </a:lnTo>
              <a:lnTo>
                <a:pt x="0" y="408017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  <a:ln w="38100" cap="sq">
          <a:solidFill>
            <a:srgbClr val="000000"/>
          </a:solidFill>
          <a:prstDash val="solid"/>
          <a:miter/>
        </a:ln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17</xdr:col>
      <xdr:colOff>30480</xdr:colOff>
      <xdr:row>3</xdr:row>
      <xdr:rowOff>7620</xdr:rowOff>
    </xdr:from>
    <xdr:to>
      <xdr:col>22</xdr:col>
      <xdr:colOff>70735</xdr:colOff>
      <xdr:row>12</xdr:row>
      <xdr:rowOff>60960</xdr:rowOff>
    </xdr:to>
    <xdr:sp macro="" textlink="">
      <xdr:nvSpPr>
        <xdr:cNvPr id="12" name="Freeform 9">
          <a:extLst>
            <a:ext uri="{FF2B5EF4-FFF2-40B4-BE49-F238E27FC236}">
              <a16:creationId xmlns:a16="http://schemas.microsoft.com/office/drawing/2014/main" id="{C6BC49CA-1C25-7DA9-4D8B-0B0E5B49A7DA}"/>
            </a:ext>
          </a:extLst>
        </xdr:cNvPr>
        <xdr:cNvSpPr/>
      </xdr:nvSpPr>
      <xdr:spPr>
        <a:xfrm>
          <a:off x="10652760" y="899160"/>
          <a:ext cx="3088255" cy="1699260"/>
        </a:xfrm>
        <a:custGeom>
          <a:avLst/>
          <a:gdLst/>
          <a:ahLst/>
          <a:cxnLst/>
          <a:rect l="l" t="t" r="r" b="b"/>
          <a:pathLst>
            <a:path w="7538335" h="4061278">
              <a:moveTo>
                <a:pt x="0" y="0"/>
              </a:moveTo>
              <a:lnTo>
                <a:pt x="7538335" y="0"/>
              </a:lnTo>
              <a:lnTo>
                <a:pt x="7538335" y="4061278"/>
              </a:lnTo>
              <a:lnTo>
                <a:pt x="0" y="406127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  <a:ln w="38100" cap="sq">
          <a:solidFill>
            <a:srgbClr val="000000"/>
          </a:solidFill>
          <a:prstDash val="solid"/>
          <a:miter/>
        </a:ln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438150</xdr:colOff>
      <xdr:row>17</xdr:row>
      <xdr:rowOff>85725</xdr:rowOff>
    </xdr:from>
    <xdr:to>
      <xdr:col>15</xdr:col>
      <xdr:colOff>209550</xdr:colOff>
      <xdr:row>42</xdr:row>
      <xdr:rowOff>22317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699E3EE-9559-4CA7-B96E-8CDDD457F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336550</xdr:colOff>
      <xdr:row>18</xdr:row>
      <xdr:rowOff>123825</xdr:rowOff>
    </xdr:from>
    <xdr:to>
      <xdr:col>32</xdr:col>
      <xdr:colOff>21772</xdr:colOff>
      <xdr:row>43</xdr:row>
      <xdr:rowOff>60417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C0BB8BF-7FA5-4886-8512-8FD6C0CBC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21772</xdr:colOff>
      <xdr:row>44</xdr:row>
      <xdr:rowOff>0</xdr:rowOff>
    </xdr:from>
    <xdr:to>
      <xdr:col>19</xdr:col>
      <xdr:colOff>489857</xdr:colOff>
      <xdr:row>70</xdr:row>
      <xdr:rowOff>108857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7AEDD6FF-014E-4C93-A0B0-CFEC53B26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195943</xdr:colOff>
      <xdr:row>71</xdr:row>
      <xdr:rowOff>489857</xdr:rowOff>
    </xdr:from>
    <xdr:to>
      <xdr:col>20</xdr:col>
      <xdr:colOff>228600</xdr:colOff>
      <xdr:row>93</xdr:row>
      <xdr:rowOff>65314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889816D-3CE5-261B-7D54-BC8CEB5FA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348343</xdr:colOff>
      <xdr:row>96</xdr:row>
      <xdr:rowOff>97972</xdr:rowOff>
    </xdr:from>
    <xdr:to>
      <xdr:col>23</xdr:col>
      <xdr:colOff>54429</xdr:colOff>
      <xdr:row>120</xdr:row>
      <xdr:rowOff>65313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D2D1F4A-980C-6B9A-01B2-E861E68BA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59871</xdr:colOff>
      <xdr:row>99</xdr:row>
      <xdr:rowOff>115388</xdr:rowOff>
    </xdr:from>
    <xdr:to>
      <xdr:col>7</xdr:col>
      <xdr:colOff>67491</xdr:colOff>
      <xdr:row>104</xdr:row>
      <xdr:rowOff>123009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6BB0F456-35B7-8889-8181-3EAD5098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9128" y="19785874"/>
          <a:ext cx="1226820" cy="93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250371</xdr:colOff>
      <xdr:row>123</xdr:row>
      <xdr:rowOff>87087</xdr:rowOff>
    </xdr:from>
    <xdr:to>
      <xdr:col>23</xdr:col>
      <xdr:colOff>315685</xdr:colOff>
      <xdr:row>138</xdr:row>
      <xdr:rowOff>1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D9984CDA-80FC-46F6-92FB-CB3041F47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544285</xdr:colOff>
      <xdr:row>145</xdr:row>
      <xdr:rowOff>87086</xdr:rowOff>
    </xdr:from>
    <xdr:to>
      <xdr:col>28</xdr:col>
      <xdr:colOff>266493</xdr:colOff>
      <xdr:row>168</xdr:row>
      <xdr:rowOff>145098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9824D823-FF3D-4853-80DC-5E54D42D2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89534</xdr:colOff>
      <xdr:row>2</xdr:row>
      <xdr:rowOff>45720</xdr:rowOff>
    </xdr:from>
    <xdr:to>
      <xdr:col>16</xdr:col>
      <xdr:colOff>563879</xdr:colOff>
      <xdr:row>11</xdr:row>
      <xdr:rowOff>102870</xdr:rowOff>
    </xdr:to>
    <xdr:sp macro="" textlink="">
      <xdr:nvSpPr>
        <xdr:cNvPr id="2" name="Freeform 8">
          <a:extLst>
            <a:ext uri="{FF2B5EF4-FFF2-40B4-BE49-F238E27FC236}">
              <a16:creationId xmlns:a16="http://schemas.microsoft.com/office/drawing/2014/main" id="{64ECFF78-4602-4CE0-88DA-EDDFEC0BCB52}"/>
            </a:ext>
          </a:extLst>
        </xdr:cNvPr>
        <xdr:cNvSpPr/>
      </xdr:nvSpPr>
      <xdr:spPr>
        <a:xfrm>
          <a:off x="7404734" y="411480"/>
          <a:ext cx="2912745" cy="1703070"/>
        </a:xfrm>
        <a:custGeom>
          <a:avLst/>
          <a:gdLst/>
          <a:ahLst/>
          <a:cxnLst/>
          <a:rect l="l" t="t" r="r" b="b"/>
          <a:pathLst>
            <a:path w="6834006" h="4080172">
              <a:moveTo>
                <a:pt x="0" y="0"/>
              </a:moveTo>
              <a:lnTo>
                <a:pt x="6834006" y="0"/>
              </a:lnTo>
              <a:lnTo>
                <a:pt x="6834006" y="4080172"/>
              </a:lnTo>
              <a:lnTo>
                <a:pt x="0" y="408017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  <a:ln w="38100" cap="sq">
          <a:solidFill>
            <a:srgbClr val="000000"/>
          </a:solidFill>
          <a:prstDash val="solid"/>
          <a:miter/>
        </a:ln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6</xdr:col>
      <xdr:colOff>0</xdr:colOff>
      <xdr:row>2</xdr:row>
      <xdr:rowOff>60960</xdr:rowOff>
    </xdr:from>
    <xdr:to>
      <xdr:col>11</xdr:col>
      <xdr:colOff>40255</xdr:colOff>
      <xdr:row>11</xdr:row>
      <xdr:rowOff>114300</xdr:rowOff>
    </xdr:to>
    <xdr:sp macro="" textlink="">
      <xdr:nvSpPr>
        <xdr:cNvPr id="3" name="Freeform 9">
          <a:extLst>
            <a:ext uri="{FF2B5EF4-FFF2-40B4-BE49-F238E27FC236}">
              <a16:creationId xmlns:a16="http://schemas.microsoft.com/office/drawing/2014/main" id="{29F314D2-A004-40A8-96B0-A5C6AADCA4B5}"/>
            </a:ext>
          </a:extLst>
        </xdr:cNvPr>
        <xdr:cNvSpPr/>
      </xdr:nvSpPr>
      <xdr:spPr>
        <a:xfrm>
          <a:off x="3657600" y="426720"/>
          <a:ext cx="3088255" cy="1699260"/>
        </a:xfrm>
        <a:custGeom>
          <a:avLst/>
          <a:gdLst/>
          <a:ahLst/>
          <a:cxnLst/>
          <a:rect l="l" t="t" r="r" b="b"/>
          <a:pathLst>
            <a:path w="7538335" h="4061278">
              <a:moveTo>
                <a:pt x="0" y="0"/>
              </a:moveTo>
              <a:lnTo>
                <a:pt x="7538335" y="0"/>
              </a:lnTo>
              <a:lnTo>
                <a:pt x="7538335" y="4061278"/>
              </a:lnTo>
              <a:lnTo>
                <a:pt x="0" y="406127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  <a:ln w="38100" cap="sq">
          <a:solidFill>
            <a:srgbClr val="000000"/>
          </a:solidFill>
          <a:prstDash val="solid"/>
          <a:miter/>
        </a:ln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12</xdr:col>
      <xdr:colOff>236913</xdr:colOff>
      <xdr:row>14</xdr:row>
      <xdr:rowOff>18016</xdr:rowOff>
    </xdr:from>
    <xdr:to>
      <xdr:col>22</xdr:col>
      <xdr:colOff>170207</xdr:colOff>
      <xdr:row>28</xdr:row>
      <xdr:rowOff>5128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46E72CA-6743-C61C-E59A-8C6CB2D6E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8858" y="2539543"/>
          <a:ext cx="6029294" cy="2508640"/>
        </a:xfrm>
        <a:prstGeom prst="rect">
          <a:avLst/>
        </a:prstGeom>
      </xdr:spPr>
    </xdr:pic>
    <xdr:clientData/>
  </xdr:twoCellAnchor>
  <xdr:twoCellAnchor editAs="oneCell">
    <xdr:from>
      <xdr:col>4</xdr:col>
      <xdr:colOff>208759</xdr:colOff>
      <xdr:row>14</xdr:row>
      <xdr:rowOff>106680</xdr:rowOff>
    </xdr:from>
    <xdr:to>
      <xdr:col>11</xdr:col>
      <xdr:colOff>493589</xdr:colOff>
      <xdr:row>25</xdr:row>
      <xdr:rowOff>174479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A1ADD59-6909-5734-8CFF-04261FEC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47159" y="2667000"/>
          <a:ext cx="4552030" cy="20794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435566</xdr:colOff>
      <xdr:row>55</xdr:row>
      <xdr:rowOff>104140</xdr:rowOff>
    </xdr:from>
    <xdr:to>
      <xdr:col>7</xdr:col>
      <xdr:colOff>203550</xdr:colOff>
      <xdr:row>71</xdr:row>
      <xdr:rowOff>165100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C3FC2C39-CDBB-69B0-1D5E-E80BD5289EE5}"/>
            </a:ext>
          </a:extLst>
        </xdr:cNvPr>
        <xdr:cNvGrpSpPr/>
      </xdr:nvGrpSpPr>
      <xdr:grpSpPr>
        <a:xfrm>
          <a:off x="435566" y="10241634"/>
          <a:ext cx="6278743" cy="2993213"/>
          <a:chOff x="608286" y="5394960"/>
          <a:chExt cx="6283084" cy="2987040"/>
        </a:xfrm>
      </xdr:grpSpPr>
      <xdr:pic>
        <xdr:nvPicPr>
          <xdr:cNvPr id="2" name="Imagem 1" descr="Gráfico de respostas do Google Formulários. Título da pergunta: Qual tipo de violência você sofreu?. Número de respostas: 45 respostas.">
            <a:extLst>
              <a:ext uri="{FF2B5EF4-FFF2-40B4-BE49-F238E27FC236}">
                <a16:creationId xmlns:a16="http://schemas.microsoft.com/office/drawing/2014/main" id="{5CB28A18-A499-49FF-4081-5A2882C15B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8286" y="5394960"/>
            <a:ext cx="6283084" cy="29870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CCC98428-7E6B-F8FC-EFFB-8DD785A258B5}"/>
              </a:ext>
            </a:extLst>
          </xdr:cNvPr>
          <xdr:cNvSpPr txBox="1"/>
        </xdr:nvSpPr>
        <xdr:spPr>
          <a:xfrm>
            <a:off x="3017520" y="5669280"/>
            <a:ext cx="535275" cy="264560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100"/>
              <a:t>CIAAR</a:t>
            </a:r>
          </a:p>
        </xdr:txBody>
      </xdr:sp>
    </xdr:grpSp>
    <xdr:clientData/>
  </xdr:twoCellAnchor>
  <xdr:twoCellAnchor>
    <xdr:from>
      <xdr:col>7</xdr:col>
      <xdr:colOff>177800</xdr:colOff>
      <xdr:row>56</xdr:row>
      <xdr:rowOff>117475</xdr:rowOff>
    </xdr:from>
    <xdr:to>
      <xdr:col>14</xdr:col>
      <xdr:colOff>330200</xdr:colOff>
      <xdr:row>73</xdr:row>
      <xdr:rowOff>127000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484AAC82-4F90-9B2B-6B40-B9EE9E2454AB}"/>
            </a:ext>
          </a:extLst>
        </xdr:cNvPr>
        <xdr:cNvGrpSpPr/>
      </xdr:nvGrpSpPr>
      <xdr:grpSpPr>
        <a:xfrm>
          <a:off x="6688559" y="10438234"/>
          <a:ext cx="6036198" cy="3125044"/>
          <a:chOff x="6838950" y="4849505"/>
          <a:chExt cx="6899637" cy="3418195"/>
        </a:xfrm>
      </xdr:grpSpPr>
      <xdr:pic>
        <xdr:nvPicPr>
          <xdr:cNvPr id="5" name="Imagem 4" descr="Gráfico de respostas do Google Formulários. Título da pergunta: Qual tipo de violência você sofreu?. Número de respostas: 31 respostas.">
            <a:extLst>
              <a:ext uri="{FF2B5EF4-FFF2-40B4-BE49-F238E27FC236}">
                <a16:creationId xmlns:a16="http://schemas.microsoft.com/office/drawing/2014/main" id="{8995F211-088D-B840-5139-B3A30017A3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38950" y="4849505"/>
            <a:ext cx="6899637" cy="34181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4B193BB5-EC20-4A6C-B3DC-1B59858767F8}"/>
              </a:ext>
            </a:extLst>
          </xdr:cNvPr>
          <xdr:cNvSpPr txBox="1"/>
        </xdr:nvSpPr>
        <xdr:spPr>
          <a:xfrm>
            <a:off x="9878016" y="5132071"/>
            <a:ext cx="907350" cy="223835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/>
              <a:t>COMGEP</a:t>
            </a:r>
          </a:p>
        </xdr:txBody>
      </xdr:sp>
    </xdr:grpSp>
    <xdr:clientData/>
  </xdr:twoCellAnchor>
  <xdr:twoCellAnchor>
    <xdr:from>
      <xdr:col>1</xdr:col>
      <xdr:colOff>25400</xdr:colOff>
      <xdr:row>78</xdr:row>
      <xdr:rowOff>29584</xdr:rowOff>
    </xdr:from>
    <xdr:to>
      <xdr:col>7</xdr:col>
      <xdr:colOff>406400</xdr:colOff>
      <xdr:row>99</xdr:row>
      <xdr:rowOff>81279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0094A6F-3489-1BF2-6F41-F1FAE2BE4EB5}"/>
            </a:ext>
          </a:extLst>
        </xdr:cNvPr>
        <xdr:cNvGrpSpPr/>
      </xdr:nvGrpSpPr>
      <xdr:grpSpPr>
        <a:xfrm>
          <a:off x="613780" y="14382192"/>
          <a:ext cx="6303379" cy="3900277"/>
          <a:chOff x="742950" y="8719559"/>
          <a:chExt cx="8201025" cy="3855345"/>
        </a:xfrm>
      </xdr:grpSpPr>
      <xdr:pic>
        <xdr:nvPicPr>
          <xdr:cNvPr id="8" name="Imagem 7" descr="Gráfico de respostas do Google Formulários. Título da pergunta: Qual tipo de violência você sofreu?. Número de respostas: 28 respostas.">
            <a:extLst>
              <a:ext uri="{FF2B5EF4-FFF2-40B4-BE49-F238E27FC236}">
                <a16:creationId xmlns:a16="http://schemas.microsoft.com/office/drawing/2014/main" id="{301A42E9-1CF8-06C1-8E89-A3A7288FE8D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2950" y="8719559"/>
            <a:ext cx="8201025" cy="385534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7598E306-22C5-4A53-B919-49F6615AFC15}"/>
              </a:ext>
            </a:extLst>
          </xdr:cNvPr>
          <xdr:cNvSpPr txBox="1"/>
        </xdr:nvSpPr>
        <xdr:spPr>
          <a:xfrm>
            <a:off x="4172541" y="8923020"/>
            <a:ext cx="2028234" cy="259080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/>
              <a:t>afa efetivo</a:t>
            </a:r>
          </a:p>
        </xdr:txBody>
      </xdr:sp>
    </xdr:grpSp>
    <xdr:clientData/>
  </xdr:twoCellAnchor>
  <xdr:twoCellAnchor>
    <xdr:from>
      <xdr:col>7</xdr:col>
      <xdr:colOff>669925</xdr:colOff>
      <xdr:row>79</xdr:row>
      <xdr:rowOff>3175</xdr:rowOff>
    </xdr:from>
    <xdr:to>
      <xdr:col>15</xdr:col>
      <xdr:colOff>25400</xdr:colOff>
      <xdr:row>100</xdr:row>
      <xdr:rowOff>87630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32757822-B7E9-2EA7-8EC4-24390F93B48D}"/>
            </a:ext>
          </a:extLst>
        </xdr:cNvPr>
        <xdr:cNvGrpSpPr/>
      </xdr:nvGrpSpPr>
      <xdr:grpSpPr>
        <a:xfrm>
          <a:off x="7180684" y="14539048"/>
          <a:ext cx="6088083" cy="3933038"/>
          <a:chOff x="9534525" y="8763000"/>
          <a:chExt cx="8257481" cy="3888105"/>
        </a:xfrm>
      </xdr:grpSpPr>
      <xdr:pic>
        <xdr:nvPicPr>
          <xdr:cNvPr id="10" name="Imagem 9" descr="Gráfico de respostas do Google Formulários. Título da pergunta: Qual tipo de violência você sofreu?. Número de respostas: 50 respostas.">
            <a:extLst>
              <a:ext uri="{FF2B5EF4-FFF2-40B4-BE49-F238E27FC236}">
                <a16:creationId xmlns:a16="http://schemas.microsoft.com/office/drawing/2014/main" id="{9DFFD973-D1FB-0B94-8FA4-6A33977FDC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34525" y="8763000"/>
            <a:ext cx="8257481" cy="38881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01983988-F758-48AE-AB40-A27E27631331}"/>
              </a:ext>
            </a:extLst>
          </xdr:cNvPr>
          <xdr:cNvSpPr txBox="1"/>
        </xdr:nvSpPr>
        <xdr:spPr>
          <a:xfrm>
            <a:off x="14316075" y="8943975"/>
            <a:ext cx="2971800" cy="361950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/>
              <a:t>AFA CADETES</a:t>
            </a:r>
          </a:p>
        </xdr:txBody>
      </xdr:sp>
    </xdr:grpSp>
    <xdr:clientData/>
  </xdr:twoCellAnchor>
  <xdr:twoCellAnchor>
    <xdr:from>
      <xdr:col>1</xdr:col>
      <xdr:colOff>584200</xdr:colOff>
      <xdr:row>103</xdr:row>
      <xdr:rowOff>37864</xdr:rowOff>
    </xdr:from>
    <xdr:to>
      <xdr:col>6</xdr:col>
      <xdr:colOff>564230</xdr:colOff>
      <xdr:row>113</xdr:row>
      <xdr:rowOff>169163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94C04B55-ED31-B4EC-95B2-19924326E21A}"/>
            </a:ext>
          </a:extLst>
        </xdr:cNvPr>
        <xdr:cNvGrpSpPr/>
      </xdr:nvGrpSpPr>
      <xdr:grpSpPr>
        <a:xfrm>
          <a:off x="1172580" y="18972117"/>
          <a:ext cx="4542384" cy="1963957"/>
          <a:chOff x="590550" y="12995039"/>
          <a:chExt cx="4542505" cy="1944224"/>
        </a:xfrm>
      </xdr:grpSpPr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1AE56CA3-D0C9-4C30-A821-E46E3D3BDC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90550" y="12995039"/>
            <a:ext cx="4542505" cy="1944224"/>
          </a:xfrm>
          <a:prstGeom prst="rect">
            <a:avLst/>
          </a:prstGeom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33B7AE92-8591-43B8-BD80-7161CA675D71}"/>
              </a:ext>
            </a:extLst>
          </xdr:cNvPr>
          <xdr:cNvSpPr txBox="1"/>
        </xdr:nvSpPr>
        <xdr:spPr>
          <a:xfrm>
            <a:off x="2696166" y="13133070"/>
            <a:ext cx="2018709" cy="268605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/>
              <a:t>EEAR</a:t>
            </a:r>
            <a:r>
              <a:rPr lang="pt-BR" sz="1100" baseline="0"/>
              <a:t> ALUNAS</a:t>
            </a:r>
            <a:endParaRPr lang="pt-BR" sz="1100"/>
          </a:p>
        </xdr:txBody>
      </xdr:sp>
    </xdr:grpSp>
    <xdr:clientData/>
  </xdr:twoCellAnchor>
  <xdr:twoCellAnchor>
    <xdr:from>
      <xdr:col>7</xdr:col>
      <xdr:colOff>612354</xdr:colOff>
      <xdr:row>101</xdr:row>
      <xdr:rowOff>152400</xdr:rowOff>
    </xdr:from>
    <xdr:to>
      <xdr:col>14</xdr:col>
      <xdr:colOff>748848</xdr:colOff>
      <xdr:row>115</xdr:row>
      <xdr:rowOff>6740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E144A857-6945-8ADC-AF72-AF28EF147323}"/>
            </a:ext>
          </a:extLst>
        </xdr:cNvPr>
        <xdr:cNvGrpSpPr/>
      </xdr:nvGrpSpPr>
      <xdr:grpSpPr>
        <a:xfrm>
          <a:off x="7123113" y="18720122"/>
          <a:ext cx="6020292" cy="2420061"/>
          <a:chOff x="5485979" y="12906375"/>
          <a:chExt cx="6029294" cy="2384815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58821EF6-1FC5-4AC1-9A2D-AC32ABEAFA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485979" y="12906375"/>
            <a:ext cx="6029294" cy="2384815"/>
          </a:xfrm>
          <a:prstGeom prst="rect">
            <a:avLst/>
          </a:prstGeom>
        </xdr:spPr>
      </xdr:pic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94AC299F-B9EA-4EDC-BA97-0C2ED8BD3DA2}"/>
              </a:ext>
            </a:extLst>
          </xdr:cNvPr>
          <xdr:cNvSpPr txBox="1"/>
        </xdr:nvSpPr>
        <xdr:spPr>
          <a:xfrm>
            <a:off x="8514929" y="13125450"/>
            <a:ext cx="2028234" cy="268605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/>
              <a:t>EEAR EFETIVO</a:t>
            </a:r>
          </a:p>
        </xdr:txBody>
      </xdr:sp>
    </xdr:grpSp>
    <xdr:clientData/>
  </xdr:twoCellAnchor>
  <xdr:twoCellAnchor>
    <xdr:from>
      <xdr:col>15</xdr:col>
      <xdr:colOff>577850</xdr:colOff>
      <xdr:row>19</xdr:row>
      <xdr:rowOff>44450</xdr:rowOff>
    </xdr:from>
    <xdr:to>
      <xdr:col>25</xdr:col>
      <xdr:colOff>25400</xdr:colOff>
      <xdr:row>40</xdr:row>
      <xdr:rowOff>165100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38337294-6136-1BBB-6EFC-7EC474452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135038</xdr:colOff>
      <xdr:row>53</xdr:row>
      <xdr:rowOff>176512</xdr:rowOff>
    </xdr:from>
    <xdr:to>
      <xdr:col>32</xdr:col>
      <xdr:colOff>115748</xdr:colOff>
      <xdr:row>82</xdr:row>
      <xdr:rowOff>57872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41C140EE-3EA4-DC1F-6F58-1CDDC161D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731520</xdr:colOff>
      <xdr:row>51</xdr:row>
      <xdr:rowOff>106680</xdr:rowOff>
    </xdr:from>
    <xdr:ext cx="10568940" cy="92964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086723-16C8-4A52-99E8-DB599664C482}"/>
            </a:ext>
          </a:extLst>
        </xdr:cNvPr>
        <xdr:cNvSpPr txBox="1"/>
      </xdr:nvSpPr>
      <xdr:spPr>
        <a:xfrm>
          <a:off x="2705100" y="9433560"/>
          <a:ext cx="10568940" cy="9296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900"/>
            <a:t>O </a:t>
          </a:r>
          <a:r>
            <a:rPr lang="pt-BR" sz="900" b="1"/>
            <a:t>grau de liberdade</a:t>
          </a:r>
          <a:r>
            <a:rPr lang="pt-BR" sz="900"/>
            <a:t> em um teste qui-quadrado para independência é um valor que determina a distribuição da estatística de teste e, consequentemente, o valor crítico para rejeitar ou não a hipótese nula. Ele representa o número de células em uma tabela de contingência que podem variar livremente, dadas as restrições dos totais marginais (linhas e colunas).  gl = (r - 1) * (c - 1)</a:t>
          </a:r>
        </a:p>
        <a:p>
          <a:pPr>
            <a:lnSpc>
              <a:spcPct val="100000"/>
            </a:lnSpc>
          </a:pPr>
          <a:r>
            <a:rPr lang="pt-BR" sz="900" kern="1200"/>
            <a:t>r linha</a:t>
          </a:r>
        </a:p>
        <a:p>
          <a:pPr>
            <a:lnSpc>
              <a:spcPct val="100000"/>
            </a:lnSpc>
          </a:pPr>
          <a:r>
            <a:rPr lang="pt-BR" sz="900" kern="1200"/>
            <a:t>c</a:t>
          </a:r>
          <a:r>
            <a:rPr lang="pt-BR" sz="900" kern="1200" baseline="0"/>
            <a:t> coluna</a:t>
          </a:r>
          <a:endParaRPr lang="pt-BR" sz="900" kern="1200"/>
        </a:p>
        <a:p>
          <a:pPr>
            <a:lnSpc>
              <a:spcPct val="100000"/>
            </a:lnSpc>
          </a:pPr>
          <a:r>
            <a:rPr lang="pt-BR" sz="900" b="1"/>
            <a:t>Interpretação:</a:t>
          </a:r>
        </a:p>
        <a:p>
          <a:pPr>
            <a:lnSpc>
              <a:spcPct val="100000"/>
            </a:lnSpc>
          </a:pPr>
          <a:r>
            <a:rPr lang="pt-BR" sz="900" b="1"/>
            <a:t>O que significa?</a:t>
          </a:r>
          <a:r>
            <a:rPr lang="pt-BR" sz="900"/>
            <a:t> O grau de liberdade indica o número de células que podem assumir qualquer valor, desde que os totais marginais permaneçam constantes.</a:t>
          </a:r>
        </a:p>
        <a:p>
          <a:endParaRPr lang="pt-BR" sz="900" kern="1200"/>
        </a:p>
      </xdr:txBody>
    </xdr:sp>
    <xdr:clientData/>
  </xdr:oneCellAnchor>
  <xdr:twoCellAnchor editAs="oneCell">
    <xdr:from>
      <xdr:col>0</xdr:col>
      <xdr:colOff>0</xdr:colOff>
      <xdr:row>62</xdr:row>
      <xdr:rowOff>87630</xdr:rowOff>
    </xdr:from>
    <xdr:to>
      <xdr:col>6</xdr:col>
      <xdr:colOff>198120</xdr:colOff>
      <xdr:row>76</xdr:row>
      <xdr:rowOff>7620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D6332A0-8821-42E4-B8C2-EF4B0CCE9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71910"/>
          <a:ext cx="4960620" cy="24803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72</xdr:row>
      <xdr:rowOff>53340</xdr:rowOff>
    </xdr:from>
    <xdr:to>
      <xdr:col>3</xdr:col>
      <xdr:colOff>0</xdr:colOff>
      <xdr:row>75</xdr:row>
      <xdr:rowOff>15240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508C02C2-E5A8-4BB0-B51F-78D72CDA56F0}"/>
            </a:ext>
          </a:extLst>
        </xdr:cNvPr>
        <xdr:cNvCxnSpPr/>
      </xdr:nvCxnSpPr>
      <xdr:spPr>
        <a:xfrm>
          <a:off x="2758440" y="13266420"/>
          <a:ext cx="0" cy="5105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381000</xdr:colOff>
      <xdr:row>56</xdr:row>
      <xdr:rowOff>59674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8FD29D-CE44-45BB-A419-5D5119D60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254" r="30992"/>
        <a:stretch/>
      </xdr:blipFill>
      <xdr:spPr>
        <a:xfrm>
          <a:off x="0" y="0"/>
          <a:ext cx="7086600" cy="10285714"/>
        </a:xfrm>
        <a:prstGeom prst="rect">
          <a:avLst/>
        </a:prstGeom>
      </xdr:spPr>
    </xdr:pic>
    <xdr:clientData/>
  </xdr:twoCellAnchor>
  <xdr:twoCellAnchor>
    <xdr:from>
      <xdr:col>6</xdr:col>
      <xdr:colOff>447261</xdr:colOff>
      <xdr:row>10</xdr:row>
      <xdr:rowOff>125565</xdr:rowOff>
    </xdr:from>
    <xdr:to>
      <xdr:col>7</xdr:col>
      <xdr:colOff>310101</xdr:colOff>
      <xdr:row>54</xdr:row>
      <xdr:rowOff>125565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FC462F6-80BB-4D2A-9692-013E72F0FCF3}"/>
            </a:ext>
          </a:extLst>
        </xdr:cNvPr>
        <xdr:cNvSpPr/>
      </xdr:nvSpPr>
      <xdr:spPr>
        <a:xfrm>
          <a:off x="4104861" y="1954365"/>
          <a:ext cx="472440" cy="8031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99392</xdr:colOff>
      <xdr:row>30</xdr:row>
      <xdr:rowOff>175590</xdr:rowOff>
    </xdr:from>
    <xdr:to>
      <xdr:col>12</xdr:col>
      <xdr:colOff>152732</xdr:colOff>
      <xdr:row>31</xdr:row>
      <xdr:rowOff>31473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DF67C9DB-37CE-415C-9948-B46BFD753B37}"/>
            </a:ext>
          </a:extLst>
        </xdr:cNvPr>
        <xdr:cNvCxnSpPr/>
      </xdr:nvCxnSpPr>
      <xdr:spPr>
        <a:xfrm flipV="1">
          <a:off x="99392" y="5661990"/>
          <a:ext cx="7368540" cy="3876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o" refreshedDate="45977.586395833336" createdVersion="8" refreshedVersion="8" minRefreshableVersion="3" recordCount="225" xr:uid="{2B20146E-5AF0-4881-AF40-4C076ECF3444}">
  <cacheSource type="worksheet">
    <worksheetSource ref="A1:H1048576" sheet="BANCO DE DADOS"/>
  </cacheSource>
  <cacheFields count="8">
    <cacheField name="1Carimbo de data/hora" numFmtId="0">
      <sharedItems containsDate="1" containsBlank="1" containsMixedTypes="1" minDate="2025-09-18T15:17:05" maxDate="2025-10-30T15:04:04"/>
    </cacheField>
    <cacheField name="2Você já sofreu violência?" numFmtId="0">
      <sharedItems containsBlank="1" count="3">
        <s v="NÃO"/>
        <s v="SIM"/>
        <m/>
      </sharedItems>
    </cacheField>
    <cacheField name="3Qual tipo de violência você sofreu?" numFmtId="0">
      <sharedItems containsBlank="1" count="24">
        <m/>
        <s v="Violência Sexual"/>
        <s v="Violência Psicológica, Violência Moral, Violência Sexual"/>
        <s v="Violência Psicológica, Violência Sexual"/>
        <s v="Violência Psicológica, Violência Moral, Violência Patrimonial, Violência Física, Violência Sexual"/>
        <s v="Violência Moral, Violência Sexual"/>
        <s v="Violência Psicológica, Violência Moral, Violência Física, Violência Sexual"/>
        <s v="Violência Psicológica, Violência Moral"/>
        <s v="Violência Psicológica"/>
        <s v="Violência Psicológica, Violência Moral, Violência Física"/>
        <s v="Violência Moral"/>
        <s v="Violência Psicológica, Violência Patrimonial"/>
        <s v="Violência Psicológica, Violência Física"/>
        <s v="Violência Psicológica, Violência Moral, Violência Patrimonial"/>
        <s v="Violência Psicológica, Violência Moral, Violência Patrimonial, Violência Sexual"/>
        <s v="Violência Psicológica, Violência Fisica"/>
        <s v="Violência Psicológica, Violência Moral, Violência Fisica, Violência Sexual"/>
        <s v="Violência Psicológica, Violência Moral, Violência Fisica"/>
        <s v="Violência Psicológica, Violência Moral, Violência Patrimonial, Violência Fisica"/>
        <s v="Violência Física"/>
        <s v="Violência Psicológica, Violência Moral, Violência Sexual, Violência Física"/>
        <s v="Violência Psicológica, Violência Patrimonial, Violência Sexual, Violência Física"/>
        <s v="Violência Psicológica, Violência Moral, Violência Patrimonial, Violência Sexual, Violência Física"/>
        <s v="Violência Moral, Violência Sexual, Violência Física"/>
      </sharedItems>
    </cacheField>
    <cacheField name="4POSTO / GRADUAÇÃO" numFmtId="0">
      <sharedItems containsBlank="1" count="5">
        <s v="CADETES"/>
        <s v="EFETIVO"/>
        <s v="Graduado"/>
        <s v="Oficial"/>
        <m/>
      </sharedItems>
    </cacheField>
    <cacheField name="5OM" numFmtId="0">
      <sharedItems containsBlank="1" count="4">
        <s v="AFA"/>
        <s v="COMGEP"/>
        <s v="CIAAR"/>
        <m/>
      </sharedItems>
    </cacheField>
    <cacheField name="6POSTO" numFmtId="0">
      <sharedItems containsBlank="1" count="3">
        <s v="CADETES"/>
        <s v="EFETIVO"/>
        <m/>
      </sharedItems>
    </cacheField>
    <cacheField name="7Como você se autodeclara:" numFmtId="0">
      <sharedItems containsBlank="1" count="5">
        <m/>
        <s v="Branca"/>
        <s v="Amarela"/>
        <s v="Parda"/>
        <s v="Preta"/>
      </sharedItems>
    </cacheField>
    <cacheField name="Colu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d v="2025-09-18T15:17:05"/>
    <x v="0"/>
    <x v="0"/>
    <x v="0"/>
    <x v="0"/>
    <x v="0"/>
    <x v="0"/>
    <m/>
  </r>
  <r>
    <d v="2025-09-18T15:17:09"/>
    <x v="0"/>
    <x v="0"/>
    <x v="0"/>
    <x v="0"/>
    <x v="0"/>
    <x v="0"/>
    <m/>
  </r>
  <r>
    <d v="2025-09-18T15:17:14"/>
    <x v="0"/>
    <x v="0"/>
    <x v="0"/>
    <x v="0"/>
    <x v="0"/>
    <x v="0"/>
    <m/>
  </r>
  <r>
    <d v="2025-09-18T15:17:19"/>
    <x v="0"/>
    <x v="0"/>
    <x v="0"/>
    <x v="0"/>
    <x v="0"/>
    <x v="0"/>
    <m/>
  </r>
  <r>
    <d v="2025-09-18T15:17:23"/>
    <x v="0"/>
    <x v="0"/>
    <x v="0"/>
    <x v="0"/>
    <x v="0"/>
    <x v="0"/>
    <m/>
  </r>
  <r>
    <d v="2025-09-18T15:17:28"/>
    <x v="0"/>
    <x v="0"/>
    <x v="0"/>
    <x v="0"/>
    <x v="0"/>
    <x v="0"/>
    <m/>
  </r>
  <r>
    <d v="2025-09-18T15:17:33"/>
    <x v="0"/>
    <x v="0"/>
    <x v="0"/>
    <x v="0"/>
    <x v="0"/>
    <x v="0"/>
    <m/>
  </r>
  <r>
    <d v="2025-09-18T15:17:39"/>
    <x v="0"/>
    <x v="0"/>
    <x v="0"/>
    <x v="0"/>
    <x v="0"/>
    <x v="0"/>
    <m/>
  </r>
  <r>
    <d v="2025-09-18T15:17:44"/>
    <x v="0"/>
    <x v="0"/>
    <x v="0"/>
    <x v="0"/>
    <x v="0"/>
    <x v="0"/>
    <m/>
  </r>
  <r>
    <d v="2025-09-18T15:17:50"/>
    <x v="0"/>
    <x v="0"/>
    <x v="0"/>
    <x v="0"/>
    <x v="0"/>
    <x v="0"/>
    <m/>
  </r>
  <r>
    <d v="2025-09-18T15:17:56"/>
    <x v="0"/>
    <x v="0"/>
    <x v="0"/>
    <x v="0"/>
    <x v="0"/>
    <x v="0"/>
    <m/>
  </r>
  <r>
    <d v="2025-09-18T15:18:02"/>
    <x v="0"/>
    <x v="0"/>
    <x v="0"/>
    <x v="0"/>
    <x v="0"/>
    <x v="0"/>
    <m/>
  </r>
  <r>
    <d v="2025-09-18T15:18:08"/>
    <x v="0"/>
    <x v="0"/>
    <x v="0"/>
    <x v="0"/>
    <x v="0"/>
    <x v="0"/>
    <m/>
  </r>
  <r>
    <d v="2025-09-18T15:18:13"/>
    <x v="0"/>
    <x v="0"/>
    <x v="0"/>
    <x v="0"/>
    <x v="0"/>
    <x v="0"/>
    <m/>
  </r>
  <r>
    <d v="2025-09-18T15:18:18"/>
    <x v="0"/>
    <x v="0"/>
    <x v="0"/>
    <x v="0"/>
    <x v="0"/>
    <x v="0"/>
    <m/>
  </r>
  <r>
    <d v="2025-09-18T15:18:23"/>
    <x v="0"/>
    <x v="0"/>
    <x v="0"/>
    <x v="0"/>
    <x v="0"/>
    <x v="0"/>
    <m/>
  </r>
  <r>
    <d v="2025-09-18T15:18:28"/>
    <x v="0"/>
    <x v="0"/>
    <x v="0"/>
    <x v="0"/>
    <x v="0"/>
    <x v="0"/>
    <m/>
  </r>
  <r>
    <d v="2025-09-18T15:18:34"/>
    <x v="0"/>
    <x v="0"/>
    <x v="0"/>
    <x v="0"/>
    <x v="0"/>
    <x v="0"/>
    <m/>
  </r>
  <r>
    <d v="2025-09-18T15:18:39"/>
    <x v="0"/>
    <x v="0"/>
    <x v="0"/>
    <x v="0"/>
    <x v="0"/>
    <x v="0"/>
    <m/>
  </r>
  <r>
    <d v="2025-09-18T15:18:44"/>
    <x v="0"/>
    <x v="0"/>
    <x v="0"/>
    <x v="0"/>
    <x v="0"/>
    <x v="0"/>
    <m/>
  </r>
  <r>
    <d v="2025-09-18T15:18:49"/>
    <x v="0"/>
    <x v="0"/>
    <x v="0"/>
    <x v="0"/>
    <x v="0"/>
    <x v="0"/>
    <m/>
  </r>
  <r>
    <d v="2025-09-18T15:19:00"/>
    <x v="0"/>
    <x v="0"/>
    <x v="0"/>
    <x v="0"/>
    <x v="0"/>
    <x v="0"/>
    <m/>
  </r>
  <r>
    <d v="2025-09-18T15:19:04"/>
    <x v="0"/>
    <x v="0"/>
    <x v="0"/>
    <x v="0"/>
    <x v="0"/>
    <x v="0"/>
    <m/>
  </r>
  <r>
    <d v="2025-09-18T15:19:08"/>
    <x v="0"/>
    <x v="0"/>
    <x v="0"/>
    <x v="0"/>
    <x v="0"/>
    <x v="0"/>
    <m/>
  </r>
  <r>
    <d v="2025-09-18T15:19:12"/>
    <x v="0"/>
    <x v="0"/>
    <x v="0"/>
    <x v="0"/>
    <x v="0"/>
    <x v="0"/>
    <m/>
  </r>
  <r>
    <d v="2025-09-18T15:19:17"/>
    <x v="0"/>
    <x v="0"/>
    <x v="0"/>
    <x v="0"/>
    <x v="0"/>
    <x v="0"/>
    <m/>
  </r>
  <r>
    <d v="2025-09-18T15:19:21"/>
    <x v="0"/>
    <x v="0"/>
    <x v="0"/>
    <x v="0"/>
    <x v="0"/>
    <x v="0"/>
    <m/>
  </r>
  <r>
    <d v="2025-09-18T15:19:26"/>
    <x v="0"/>
    <x v="0"/>
    <x v="0"/>
    <x v="0"/>
    <x v="0"/>
    <x v="0"/>
    <m/>
  </r>
  <r>
    <d v="2025-09-18T15:19:31"/>
    <x v="0"/>
    <x v="0"/>
    <x v="0"/>
    <x v="0"/>
    <x v="0"/>
    <x v="0"/>
    <m/>
  </r>
  <r>
    <d v="2025-09-18T15:19:35"/>
    <x v="0"/>
    <x v="0"/>
    <x v="0"/>
    <x v="0"/>
    <x v="0"/>
    <x v="0"/>
    <m/>
  </r>
  <r>
    <d v="2025-09-18T15:19:40"/>
    <x v="0"/>
    <x v="0"/>
    <x v="0"/>
    <x v="0"/>
    <x v="0"/>
    <x v="0"/>
    <m/>
  </r>
  <r>
    <d v="2025-09-18T15:19:44"/>
    <x v="0"/>
    <x v="0"/>
    <x v="0"/>
    <x v="0"/>
    <x v="0"/>
    <x v="0"/>
    <m/>
  </r>
  <r>
    <d v="2025-09-18T15:19:49"/>
    <x v="0"/>
    <x v="0"/>
    <x v="0"/>
    <x v="0"/>
    <x v="0"/>
    <x v="0"/>
    <m/>
  </r>
  <r>
    <d v="2025-09-18T15:19:53"/>
    <x v="0"/>
    <x v="0"/>
    <x v="0"/>
    <x v="0"/>
    <x v="0"/>
    <x v="0"/>
    <m/>
  </r>
  <r>
    <d v="2025-09-18T15:19:58"/>
    <x v="0"/>
    <x v="0"/>
    <x v="0"/>
    <x v="0"/>
    <x v="0"/>
    <x v="0"/>
    <m/>
  </r>
  <r>
    <d v="2025-09-18T15:20:02"/>
    <x v="0"/>
    <x v="0"/>
    <x v="0"/>
    <x v="0"/>
    <x v="0"/>
    <x v="0"/>
    <m/>
  </r>
  <r>
    <d v="2025-09-18T15:20:10"/>
    <x v="0"/>
    <x v="0"/>
    <x v="0"/>
    <x v="0"/>
    <x v="0"/>
    <x v="0"/>
    <m/>
  </r>
  <r>
    <d v="2025-09-18T15:20:16"/>
    <x v="0"/>
    <x v="0"/>
    <x v="0"/>
    <x v="0"/>
    <x v="0"/>
    <x v="0"/>
    <m/>
  </r>
  <r>
    <d v="2025-09-18T15:20:22"/>
    <x v="0"/>
    <x v="0"/>
    <x v="0"/>
    <x v="0"/>
    <x v="0"/>
    <x v="0"/>
    <m/>
  </r>
  <r>
    <d v="2025-09-18T15:20:32"/>
    <x v="0"/>
    <x v="0"/>
    <x v="0"/>
    <x v="0"/>
    <x v="0"/>
    <x v="0"/>
    <m/>
  </r>
  <r>
    <d v="2025-09-18T15:20:37"/>
    <x v="0"/>
    <x v="0"/>
    <x v="0"/>
    <x v="0"/>
    <x v="0"/>
    <x v="0"/>
    <m/>
  </r>
  <r>
    <d v="2025-09-18T15:27:52"/>
    <x v="1"/>
    <x v="1"/>
    <x v="0"/>
    <x v="0"/>
    <x v="0"/>
    <x v="0"/>
    <m/>
  </r>
  <r>
    <d v="2025-09-18T15:28:00"/>
    <x v="1"/>
    <x v="1"/>
    <x v="0"/>
    <x v="0"/>
    <x v="0"/>
    <x v="0"/>
    <m/>
  </r>
  <r>
    <d v="2025-09-18T15:28:12"/>
    <x v="1"/>
    <x v="2"/>
    <x v="0"/>
    <x v="0"/>
    <x v="0"/>
    <x v="0"/>
    <m/>
  </r>
  <r>
    <d v="2025-09-18T15:28:20"/>
    <x v="1"/>
    <x v="3"/>
    <x v="0"/>
    <x v="0"/>
    <x v="0"/>
    <x v="0"/>
    <m/>
  </r>
  <r>
    <d v="2025-09-18T15:28:38"/>
    <x v="1"/>
    <x v="4"/>
    <x v="0"/>
    <x v="0"/>
    <x v="0"/>
    <x v="0"/>
    <m/>
  </r>
  <r>
    <d v="2025-09-18T15:28:46"/>
    <x v="1"/>
    <x v="1"/>
    <x v="0"/>
    <x v="0"/>
    <x v="0"/>
    <x v="0"/>
    <m/>
  </r>
  <r>
    <d v="2025-09-18T15:28:55"/>
    <x v="1"/>
    <x v="3"/>
    <x v="0"/>
    <x v="0"/>
    <x v="0"/>
    <x v="0"/>
    <m/>
  </r>
  <r>
    <d v="2025-09-18T15:29:05"/>
    <x v="1"/>
    <x v="2"/>
    <x v="0"/>
    <x v="0"/>
    <x v="0"/>
    <x v="0"/>
    <m/>
  </r>
  <r>
    <d v="2025-09-18T15:29:13"/>
    <x v="1"/>
    <x v="1"/>
    <x v="0"/>
    <x v="0"/>
    <x v="0"/>
    <x v="0"/>
    <m/>
  </r>
  <r>
    <d v="2025-09-18T15:29:21"/>
    <x v="1"/>
    <x v="5"/>
    <x v="0"/>
    <x v="0"/>
    <x v="0"/>
    <x v="0"/>
    <m/>
  </r>
  <r>
    <d v="2025-09-18T15:29:30"/>
    <x v="1"/>
    <x v="3"/>
    <x v="0"/>
    <x v="0"/>
    <x v="0"/>
    <x v="0"/>
    <m/>
  </r>
  <r>
    <d v="2025-09-18T15:29:48"/>
    <x v="1"/>
    <x v="6"/>
    <x v="0"/>
    <x v="0"/>
    <x v="0"/>
    <x v="0"/>
    <m/>
  </r>
  <r>
    <d v="2025-09-18T15:30:12"/>
    <x v="1"/>
    <x v="1"/>
    <x v="0"/>
    <x v="0"/>
    <x v="0"/>
    <x v="0"/>
    <m/>
  </r>
  <r>
    <d v="2025-09-18T15:30:21"/>
    <x v="1"/>
    <x v="1"/>
    <x v="0"/>
    <x v="0"/>
    <x v="0"/>
    <x v="0"/>
    <m/>
  </r>
  <r>
    <d v="2025-09-18T15:30:30"/>
    <x v="1"/>
    <x v="1"/>
    <x v="0"/>
    <x v="0"/>
    <x v="0"/>
    <x v="0"/>
    <m/>
  </r>
  <r>
    <d v="2025-09-18T15:30:38"/>
    <x v="1"/>
    <x v="1"/>
    <x v="0"/>
    <x v="0"/>
    <x v="0"/>
    <x v="0"/>
    <m/>
  </r>
  <r>
    <d v="2025-09-18T15:30:50"/>
    <x v="1"/>
    <x v="7"/>
    <x v="0"/>
    <x v="0"/>
    <x v="0"/>
    <x v="0"/>
    <m/>
  </r>
  <r>
    <d v="2025-09-18T15:31:02"/>
    <x v="1"/>
    <x v="7"/>
    <x v="0"/>
    <x v="0"/>
    <x v="0"/>
    <x v="0"/>
    <m/>
  </r>
  <r>
    <d v="2025-09-18T15:31:11"/>
    <x v="1"/>
    <x v="7"/>
    <x v="0"/>
    <x v="0"/>
    <x v="0"/>
    <x v="0"/>
    <m/>
  </r>
  <r>
    <d v="2025-09-18T15:31:19"/>
    <x v="1"/>
    <x v="7"/>
    <x v="0"/>
    <x v="0"/>
    <x v="0"/>
    <x v="0"/>
    <m/>
  </r>
  <r>
    <d v="2025-09-18T15:31:29"/>
    <x v="1"/>
    <x v="8"/>
    <x v="0"/>
    <x v="0"/>
    <x v="0"/>
    <x v="0"/>
    <m/>
  </r>
  <r>
    <d v="2025-09-18T15:31:37"/>
    <x v="1"/>
    <x v="8"/>
    <x v="0"/>
    <x v="0"/>
    <x v="0"/>
    <x v="0"/>
    <m/>
  </r>
  <r>
    <d v="2025-09-18T15:31:48"/>
    <x v="1"/>
    <x v="9"/>
    <x v="0"/>
    <x v="0"/>
    <x v="0"/>
    <x v="0"/>
    <m/>
  </r>
  <r>
    <d v="2025-09-18T15:33:16"/>
    <x v="1"/>
    <x v="10"/>
    <x v="0"/>
    <x v="0"/>
    <x v="0"/>
    <x v="0"/>
    <m/>
  </r>
  <r>
    <d v="2025-09-18T15:33:29"/>
    <x v="1"/>
    <x v="9"/>
    <x v="0"/>
    <x v="0"/>
    <x v="0"/>
    <x v="0"/>
    <m/>
  </r>
  <r>
    <d v="2025-09-18T15:33:38"/>
    <x v="1"/>
    <x v="11"/>
    <x v="0"/>
    <x v="0"/>
    <x v="0"/>
    <x v="0"/>
    <m/>
  </r>
  <r>
    <d v="2025-09-18T15:33:48"/>
    <x v="1"/>
    <x v="7"/>
    <x v="0"/>
    <x v="0"/>
    <x v="0"/>
    <x v="0"/>
    <m/>
  </r>
  <r>
    <d v="2025-09-18T15:33:54"/>
    <x v="1"/>
    <x v="8"/>
    <x v="0"/>
    <x v="0"/>
    <x v="0"/>
    <x v="0"/>
    <m/>
  </r>
  <r>
    <d v="2025-09-18T15:34:01"/>
    <x v="1"/>
    <x v="10"/>
    <x v="0"/>
    <x v="0"/>
    <x v="0"/>
    <x v="0"/>
    <m/>
  </r>
  <r>
    <d v="2025-09-18T15:34:12"/>
    <x v="1"/>
    <x v="10"/>
    <x v="0"/>
    <x v="0"/>
    <x v="0"/>
    <x v="0"/>
    <m/>
  </r>
  <r>
    <d v="2025-09-18T15:34:18"/>
    <x v="1"/>
    <x v="8"/>
    <x v="0"/>
    <x v="0"/>
    <x v="0"/>
    <x v="0"/>
    <m/>
  </r>
  <r>
    <d v="2025-09-18T15:34:27"/>
    <x v="1"/>
    <x v="8"/>
    <x v="0"/>
    <x v="0"/>
    <x v="0"/>
    <x v="0"/>
    <m/>
  </r>
  <r>
    <d v="2025-09-18T15:34:37"/>
    <x v="1"/>
    <x v="7"/>
    <x v="0"/>
    <x v="0"/>
    <x v="0"/>
    <x v="0"/>
    <m/>
  </r>
  <r>
    <d v="2025-09-18T15:34:46"/>
    <x v="1"/>
    <x v="5"/>
    <x v="0"/>
    <x v="0"/>
    <x v="0"/>
    <x v="0"/>
    <m/>
  </r>
  <r>
    <d v="2025-09-18T15:34:55"/>
    <x v="1"/>
    <x v="7"/>
    <x v="0"/>
    <x v="0"/>
    <x v="0"/>
    <x v="0"/>
    <m/>
  </r>
  <r>
    <d v="2025-09-18T15:35:05"/>
    <x v="1"/>
    <x v="8"/>
    <x v="0"/>
    <x v="0"/>
    <x v="0"/>
    <x v="0"/>
    <m/>
  </r>
  <r>
    <d v="2025-09-18T15:35:12"/>
    <x v="1"/>
    <x v="10"/>
    <x v="0"/>
    <x v="0"/>
    <x v="0"/>
    <x v="0"/>
    <m/>
  </r>
  <r>
    <d v="2025-09-18T15:35:20"/>
    <x v="1"/>
    <x v="10"/>
    <x v="0"/>
    <x v="0"/>
    <x v="0"/>
    <x v="0"/>
    <m/>
  </r>
  <r>
    <d v="2025-09-18T15:35:27"/>
    <x v="1"/>
    <x v="8"/>
    <x v="0"/>
    <x v="0"/>
    <x v="0"/>
    <x v="0"/>
    <m/>
  </r>
  <r>
    <d v="2025-09-18T15:35:35"/>
    <x v="1"/>
    <x v="8"/>
    <x v="0"/>
    <x v="0"/>
    <x v="0"/>
    <x v="0"/>
    <m/>
  </r>
  <r>
    <d v="2025-09-18T15:35:41"/>
    <x v="1"/>
    <x v="7"/>
    <x v="0"/>
    <x v="0"/>
    <x v="0"/>
    <x v="0"/>
    <m/>
  </r>
  <r>
    <d v="2025-09-18T15:35:49"/>
    <x v="1"/>
    <x v="10"/>
    <x v="0"/>
    <x v="0"/>
    <x v="0"/>
    <x v="0"/>
    <m/>
  </r>
  <r>
    <d v="2025-09-18T15:35:58"/>
    <x v="1"/>
    <x v="7"/>
    <x v="0"/>
    <x v="0"/>
    <x v="0"/>
    <x v="0"/>
    <m/>
  </r>
  <r>
    <d v="2025-09-18T15:36:06"/>
    <x v="1"/>
    <x v="8"/>
    <x v="0"/>
    <x v="0"/>
    <x v="0"/>
    <x v="0"/>
    <m/>
  </r>
  <r>
    <d v="2025-09-18T15:36:14"/>
    <x v="1"/>
    <x v="7"/>
    <x v="0"/>
    <x v="0"/>
    <x v="0"/>
    <x v="0"/>
    <m/>
  </r>
  <r>
    <d v="2025-09-18T15:36:22"/>
    <x v="1"/>
    <x v="10"/>
    <x v="0"/>
    <x v="0"/>
    <x v="0"/>
    <x v="0"/>
    <m/>
  </r>
  <r>
    <d v="2025-09-18T15:36:32"/>
    <x v="1"/>
    <x v="12"/>
    <x v="0"/>
    <x v="0"/>
    <x v="0"/>
    <x v="0"/>
    <m/>
  </r>
  <r>
    <d v="2025-09-18T15:36:41"/>
    <x v="1"/>
    <x v="8"/>
    <x v="0"/>
    <x v="0"/>
    <x v="0"/>
    <x v="0"/>
    <m/>
  </r>
  <r>
    <d v="2025-09-18T15:36:51"/>
    <x v="1"/>
    <x v="10"/>
    <x v="0"/>
    <x v="0"/>
    <x v="0"/>
    <x v="0"/>
    <m/>
  </r>
  <r>
    <d v="2025-09-18T15:37:01"/>
    <x v="1"/>
    <x v="7"/>
    <x v="0"/>
    <x v="0"/>
    <x v="0"/>
    <x v="0"/>
    <m/>
  </r>
  <r>
    <s v="9/18/2025 9:11:14"/>
    <x v="0"/>
    <x v="0"/>
    <x v="1"/>
    <x v="0"/>
    <x v="1"/>
    <x v="0"/>
    <m/>
  </r>
  <r>
    <s v="9/18/2025 9:11:20"/>
    <x v="0"/>
    <x v="0"/>
    <x v="1"/>
    <x v="0"/>
    <x v="1"/>
    <x v="0"/>
    <m/>
  </r>
  <r>
    <s v="9/18/2025 9:11:25"/>
    <x v="0"/>
    <x v="0"/>
    <x v="1"/>
    <x v="0"/>
    <x v="1"/>
    <x v="0"/>
    <m/>
  </r>
  <r>
    <s v="9/18/2025 9:11:30"/>
    <x v="0"/>
    <x v="0"/>
    <x v="1"/>
    <x v="0"/>
    <x v="1"/>
    <x v="0"/>
    <m/>
  </r>
  <r>
    <s v="9/18/2025 9:11:34"/>
    <x v="0"/>
    <x v="0"/>
    <x v="1"/>
    <x v="0"/>
    <x v="1"/>
    <x v="0"/>
    <m/>
  </r>
  <r>
    <s v="9/18/2025 9:11:38"/>
    <x v="0"/>
    <x v="0"/>
    <x v="1"/>
    <x v="0"/>
    <x v="1"/>
    <x v="0"/>
    <m/>
  </r>
  <r>
    <s v="9/18/2025 9:11:45"/>
    <x v="0"/>
    <x v="0"/>
    <x v="1"/>
    <x v="0"/>
    <x v="1"/>
    <x v="0"/>
    <m/>
  </r>
  <r>
    <s v="9/18/2025 9:11:49"/>
    <x v="0"/>
    <x v="0"/>
    <x v="1"/>
    <x v="0"/>
    <x v="1"/>
    <x v="0"/>
    <m/>
  </r>
  <r>
    <s v="9/18/2025 9:11:54"/>
    <x v="0"/>
    <x v="0"/>
    <x v="1"/>
    <x v="0"/>
    <x v="1"/>
    <x v="0"/>
    <m/>
  </r>
  <r>
    <s v="9/18/2025 9:11:58"/>
    <x v="0"/>
    <x v="0"/>
    <x v="1"/>
    <x v="0"/>
    <x v="1"/>
    <x v="0"/>
    <m/>
  </r>
  <r>
    <s v="9/18/2025 9:12:03"/>
    <x v="0"/>
    <x v="0"/>
    <x v="1"/>
    <x v="0"/>
    <x v="1"/>
    <x v="0"/>
    <m/>
  </r>
  <r>
    <s v="9/18/2025 9:35:26"/>
    <x v="1"/>
    <x v="7"/>
    <x v="1"/>
    <x v="0"/>
    <x v="1"/>
    <x v="0"/>
    <m/>
  </r>
  <r>
    <s v="9/18/2025 9:35:36"/>
    <x v="1"/>
    <x v="7"/>
    <x v="1"/>
    <x v="0"/>
    <x v="1"/>
    <x v="0"/>
    <m/>
  </r>
  <r>
    <s v="9/18/2025 9:35:46"/>
    <x v="1"/>
    <x v="7"/>
    <x v="1"/>
    <x v="0"/>
    <x v="1"/>
    <x v="0"/>
    <m/>
  </r>
  <r>
    <s v="9/18/2025 9:35:56"/>
    <x v="1"/>
    <x v="10"/>
    <x v="1"/>
    <x v="0"/>
    <x v="1"/>
    <x v="0"/>
    <m/>
  </r>
  <r>
    <s v="9/18/2025 9:36:13"/>
    <x v="1"/>
    <x v="13"/>
    <x v="1"/>
    <x v="0"/>
    <x v="1"/>
    <x v="0"/>
    <m/>
  </r>
  <r>
    <s v="9/18/2025 9:36:27"/>
    <x v="1"/>
    <x v="2"/>
    <x v="1"/>
    <x v="0"/>
    <x v="1"/>
    <x v="0"/>
    <m/>
  </r>
  <r>
    <s v="9/18/2025 9:36:38"/>
    <x v="1"/>
    <x v="8"/>
    <x v="1"/>
    <x v="0"/>
    <x v="1"/>
    <x v="0"/>
    <m/>
  </r>
  <r>
    <s v="9/18/2025 9:36:49"/>
    <x v="1"/>
    <x v="13"/>
    <x v="1"/>
    <x v="0"/>
    <x v="1"/>
    <x v="0"/>
    <m/>
  </r>
  <r>
    <s v="9/18/2025 9:37:07"/>
    <x v="1"/>
    <x v="14"/>
    <x v="1"/>
    <x v="0"/>
    <x v="1"/>
    <x v="0"/>
    <m/>
  </r>
  <r>
    <s v="9/18/2025 9:37:18"/>
    <x v="1"/>
    <x v="2"/>
    <x v="1"/>
    <x v="0"/>
    <x v="1"/>
    <x v="0"/>
    <m/>
  </r>
  <r>
    <s v="9/18/2025 9:37:31"/>
    <x v="1"/>
    <x v="2"/>
    <x v="1"/>
    <x v="0"/>
    <x v="1"/>
    <x v="0"/>
    <m/>
  </r>
  <r>
    <s v="9/18/2025 9:37:43"/>
    <x v="1"/>
    <x v="15"/>
    <x v="1"/>
    <x v="0"/>
    <x v="1"/>
    <x v="0"/>
    <m/>
  </r>
  <r>
    <s v="9/18/2025 9:37:59"/>
    <x v="1"/>
    <x v="2"/>
    <x v="1"/>
    <x v="0"/>
    <x v="1"/>
    <x v="0"/>
    <m/>
  </r>
  <r>
    <s v="9/18/2025 9:38:09"/>
    <x v="1"/>
    <x v="7"/>
    <x v="1"/>
    <x v="0"/>
    <x v="1"/>
    <x v="0"/>
    <m/>
  </r>
  <r>
    <s v="9/18/2025 9:38:20"/>
    <x v="1"/>
    <x v="7"/>
    <x v="1"/>
    <x v="0"/>
    <x v="1"/>
    <x v="0"/>
    <m/>
  </r>
  <r>
    <s v="9/18/2025 9:38:31"/>
    <x v="1"/>
    <x v="13"/>
    <x v="1"/>
    <x v="0"/>
    <x v="1"/>
    <x v="0"/>
    <m/>
  </r>
  <r>
    <s v="9/18/2025 9:38:42"/>
    <x v="1"/>
    <x v="7"/>
    <x v="1"/>
    <x v="0"/>
    <x v="1"/>
    <x v="0"/>
    <m/>
  </r>
  <r>
    <s v="9/18/2025 9:38:59"/>
    <x v="1"/>
    <x v="16"/>
    <x v="1"/>
    <x v="0"/>
    <x v="1"/>
    <x v="0"/>
    <m/>
  </r>
  <r>
    <s v="9/18/2025 9:39:11"/>
    <x v="1"/>
    <x v="7"/>
    <x v="1"/>
    <x v="0"/>
    <x v="1"/>
    <x v="0"/>
    <m/>
  </r>
  <r>
    <s v="9/18/2025 9:39:26"/>
    <x v="1"/>
    <x v="17"/>
    <x v="1"/>
    <x v="0"/>
    <x v="1"/>
    <x v="0"/>
    <m/>
  </r>
  <r>
    <s v="9/18/2025 9:39:38"/>
    <x v="1"/>
    <x v="1"/>
    <x v="1"/>
    <x v="0"/>
    <x v="1"/>
    <x v="0"/>
    <m/>
  </r>
  <r>
    <s v="9/18/2025 9:39:51"/>
    <x v="1"/>
    <x v="17"/>
    <x v="1"/>
    <x v="0"/>
    <x v="1"/>
    <x v="0"/>
    <m/>
  </r>
  <r>
    <s v="9/18/2025 9:40:05"/>
    <x v="1"/>
    <x v="7"/>
    <x v="1"/>
    <x v="0"/>
    <x v="1"/>
    <x v="0"/>
    <m/>
  </r>
  <r>
    <s v="9/18/2025 9:40:19"/>
    <x v="1"/>
    <x v="1"/>
    <x v="1"/>
    <x v="0"/>
    <x v="1"/>
    <x v="0"/>
    <m/>
  </r>
  <r>
    <s v="9/18/2025 9:40:33"/>
    <x v="1"/>
    <x v="16"/>
    <x v="1"/>
    <x v="0"/>
    <x v="1"/>
    <x v="0"/>
    <m/>
  </r>
  <r>
    <s v="9/18/2025 9:40:43"/>
    <x v="1"/>
    <x v="7"/>
    <x v="1"/>
    <x v="0"/>
    <x v="1"/>
    <x v="0"/>
    <m/>
  </r>
  <r>
    <s v="9/18/2025 9:41:09"/>
    <x v="1"/>
    <x v="18"/>
    <x v="1"/>
    <x v="0"/>
    <x v="1"/>
    <x v="0"/>
    <m/>
  </r>
  <r>
    <s v="9/18/2025 9:41:17"/>
    <x v="1"/>
    <x v="8"/>
    <x v="1"/>
    <x v="0"/>
    <x v="1"/>
    <x v="0"/>
    <m/>
  </r>
  <r>
    <d v="2025-09-30T11:16:57"/>
    <x v="0"/>
    <x v="0"/>
    <x v="2"/>
    <x v="1"/>
    <x v="2"/>
    <x v="1"/>
    <m/>
  </r>
  <r>
    <d v="2025-09-30T11:17:12"/>
    <x v="0"/>
    <x v="0"/>
    <x v="2"/>
    <x v="1"/>
    <x v="2"/>
    <x v="2"/>
    <m/>
  </r>
  <r>
    <d v="2025-09-30T11:17:25"/>
    <x v="0"/>
    <x v="0"/>
    <x v="2"/>
    <x v="1"/>
    <x v="2"/>
    <x v="1"/>
    <m/>
  </r>
  <r>
    <d v="2025-09-30T11:17:38"/>
    <x v="0"/>
    <x v="0"/>
    <x v="3"/>
    <x v="1"/>
    <x v="2"/>
    <x v="3"/>
    <m/>
  </r>
  <r>
    <d v="2025-09-30T11:17:49"/>
    <x v="0"/>
    <x v="0"/>
    <x v="3"/>
    <x v="1"/>
    <x v="2"/>
    <x v="1"/>
    <m/>
  </r>
  <r>
    <d v="2025-09-30T11:18:00"/>
    <x v="0"/>
    <x v="0"/>
    <x v="3"/>
    <x v="1"/>
    <x v="2"/>
    <x v="1"/>
    <m/>
  </r>
  <r>
    <d v="2025-09-30T11:18:11"/>
    <x v="0"/>
    <x v="0"/>
    <x v="3"/>
    <x v="1"/>
    <x v="2"/>
    <x v="1"/>
    <m/>
  </r>
  <r>
    <d v="2025-09-30T11:19:28"/>
    <x v="1"/>
    <x v="19"/>
    <x v="3"/>
    <x v="1"/>
    <x v="2"/>
    <x v="1"/>
    <m/>
  </r>
  <r>
    <d v="2025-09-30T11:19:40"/>
    <x v="1"/>
    <x v="8"/>
    <x v="3"/>
    <x v="1"/>
    <x v="2"/>
    <x v="4"/>
    <m/>
  </r>
  <r>
    <d v="2025-09-30T11:19:55"/>
    <x v="1"/>
    <x v="8"/>
    <x v="3"/>
    <x v="1"/>
    <x v="2"/>
    <x v="3"/>
    <m/>
  </r>
  <r>
    <d v="2025-09-30T11:20:22"/>
    <x v="1"/>
    <x v="8"/>
    <x v="3"/>
    <x v="1"/>
    <x v="2"/>
    <x v="1"/>
    <m/>
  </r>
  <r>
    <d v="2025-09-30T11:21:15"/>
    <x v="1"/>
    <x v="8"/>
    <x v="3"/>
    <x v="1"/>
    <x v="2"/>
    <x v="4"/>
    <m/>
  </r>
  <r>
    <d v="2025-09-30T11:22:00"/>
    <x v="1"/>
    <x v="8"/>
    <x v="2"/>
    <x v="1"/>
    <x v="2"/>
    <x v="1"/>
    <m/>
  </r>
  <r>
    <d v="2025-09-30T11:22:11"/>
    <x v="1"/>
    <x v="8"/>
    <x v="2"/>
    <x v="1"/>
    <x v="2"/>
    <x v="3"/>
    <m/>
  </r>
  <r>
    <d v="2025-09-30T11:22:42"/>
    <x v="1"/>
    <x v="8"/>
    <x v="2"/>
    <x v="1"/>
    <x v="2"/>
    <x v="1"/>
    <m/>
  </r>
  <r>
    <d v="2025-09-30T11:23:04"/>
    <x v="1"/>
    <x v="8"/>
    <x v="2"/>
    <x v="1"/>
    <x v="2"/>
    <x v="3"/>
    <m/>
  </r>
  <r>
    <d v="2025-09-30T11:23:50"/>
    <x v="1"/>
    <x v="8"/>
    <x v="2"/>
    <x v="1"/>
    <x v="2"/>
    <x v="3"/>
    <m/>
  </r>
  <r>
    <d v="2025-09-30T11:40:47"/>
    <x v="1"/>
    <x v="8"/>
    <x v="2"/>
    <x v="1"/>
    <x v="2"/>
    <x v="1"/>
    <m/>
  </r>
  <r>
    <d v="2025-09-30T11:22:34"/>
    <x v="1"/>
    <x v="12"/>
    <x v="2"/>
    <x v="1"/>
    <x v="2"/>
    <x v="3"/>
    <m/>
  </r>
  <r>
    <d v="2025-09-30T11:19:00"/>
    <x v="1"/>
    <x v="7"/>
    <x v="3"/>
    <x v="1"/>
    <x v="2"/>
    <x v="4"/>
    <m/>
  </r>
  <r>
    <d v="2025-09-30T11:19:12"/>
    <x v="1"/>
    <x v="7"/>
    <x v="3"/>
    <x v="1"/>
    <x v="2"/>
    <x v="2"/>
    <m/>
  </r>
  <r>
    <d v="2025-09-30T11:22:22"/>
    <x v="1"/>
    <x v="7"/>
    <x v="2"/>
    <x v="1"/>
    <x v="2"/>
    <x v="1"/>
    <m/>
  </r>
  <r>
    <d v="2025-09-30T11:24:19"/>
    <x v="1"/>
    <x v="7"/>
    <x v="2"/>
    <x v="1"/>
    <x v="2"/>
    <x v="1"/>
    <m/>
  </r>
  <r>
    <d v="2025-09-30T11:24:41"/>
    <x v="1"/>
    <x v="7"/>
    <x v="2"/>
    <x v="1"/>
    <x v="2"/>
    <x v="3"/>
    <m/>
  </r>
  <r>
    <d v="2025-09-30T11:22:54"/>
    <x v="1"/>
    <x v="11"/>
    <x v="2"/>
    <x v="1"/>
    <x v="2"/>
    <x v="3"/>
    <m/>
  </r>
  <r>
    <d v="2025-09-30T11:40:35"/>
    <x v="1"/>
    <x v="7"/>
    <x v="2"/>
    <x v="1"/>
    <x v="2"/>
    <x v="3"/>
    <m/>
  </r>
  <r>
    <d v="2025-09-30T11:20:37"/>
    <x v="1"/>
    <x v="9"/>
    <x v="3"/>
    <x v="1"/>
    <x v="2"/>
    <x v="3"/>
    <m/>
  </r>
  <r>
    <d v="2025-09-30T11:20:51"/>
    <x v="1"/>
    <x v="9"/>
    <x v="3"/>
    <x v="1"/>
    <x v="2"/>
    <x v="3"/>
    <m/>
  </r>
  <r>
    <d v="2025-09-30T11:23:40"/>
    <x v="1"/>
    <x v="9"/>
    <x v="2"/>
    <x v="1"/>
    <x v="2"/>
    <x v="1"/>
    <m/>
  </r>
  <r>
    <d v="2025-09-30T11:21:03"/>
    <x v="1"/>
    <x v="13"/>
    <x v="3"/>
    <x v="1"/>
    <x v="2"/>
    <x v="1"/>
    <m/>
  </r>
  <r>
    <d v="2025-09-30T11:21:30"/>
    <x v="1"/>
    <x v="13"/>
    <x v="3"/>
    <x v="1"/>
    <x v="2"/>
    <x v="3"/>
    <m/>
  </r>
  <r>
    <d v="2025-09-30T11:24:32"/>
    <x v="1"/>
    <x v="13"/>
    <x v="2"/>
    <x v="1"/>
    <x v="2"/>
    <x v="3"/>
    <m/>
  </r>
  <r>
    <d v="2025-09-30T11:24:05"/>
    <x v="1"/>
    <x v="14"/>
    <x v="2"/>
    <x v="1"/>
    <x v="2"/>
    <x v="1"/>
    <m/>
  </r>
  <r>
    <d v="2025-09-30T11:41:14"/>
    <x v="1"/>
    <x v="14"/>
    <x v="2"/>
    <x v="1"/>
    <x v="2"/>
    <x v="1"/>
    <m/>
  </r>
  <r>
    <d v="2025-09-30T11:23:20"/>
    <x v="1"/>
    <x v="20"/>
    <x v="2"/>
    <x v="1"/>
    <x v="2"/>
    <x v="1"/>
    <m/>
  </r>
  <r>
    <d v="2025-09-30T11:20:11"/>
    <x v="1"/>
    <x v="21"/>
    <x v="3"/>
    <x v="1"/>
    <x v="2"/>
    <x v="1"/>
    <m/>
  </r>
  <r>
    <d v="2025-09-30T11:41:00"/>
    <x v="1"/>
    <x v="3"/>
    <x v="2"/>
    <x v="1"/>
    <x v="2"/>
    <x v="1"/>
    <m/>
  </r>
  <r>
    <d v="2025-09-30T11:22:34"/>
    <x v="1"/>
    <x v="12"/>
    <x v="2"/>
    <x v="1"/>
    <x v="2"/>
    <x v="3"/>
    <m/>
  </r>
  <r>
    <d v="2025-09-30T11:16:57"/>
    <x v="0"/>
    <x v="0"/>
    <x v="2"/>
    <x v="1"/>
    <x v="2"/>
    <x v="1"/>
    <m/>
  </r>
  <r>
    <d v="2025-10-29T16:40:22"/>
    <x v="0"/>
    <x v="0"/>
    <x v="4"/>
    <x v="2"/>
    <x v="2"/>
    <x v="0"/>
    <s v="EAOF"/>
  </r>
  <r>
    <d v="2025-10-29T16:40:28"/>
    <x v="0"/>
    <x v="0"/>
    <x v="4"/>
    <x v="2"/>
    <x v="2"/>
    <x v="0"/>
    <s v="EAOF"/>
  </r>
  <r>
    <d v="2025-10-29T16:40:35"/>
    <x v="0"/>
    <x v="0"/>
    <x v="4"/>
    <x v="2"/>
    <x v="2"/>
    <x v="0"/>
    <s v="EAOF"/>
  </r>
  <r>
    <d v="2025-10-29T16:40:40"/>
    <x v="0"/>
    <x v="0"/>
    <x v="4"/>
    <x v="2"/>
    <x v="2"/>
    <x v="0"/>
    <s v="EAOF"/>
  </r>
  <r>
    <d v="2025-10-29T16:40:46"/>
    <x v="0"/>
    <x v="0"/>
    <x v="4"/>
    <x v="2"/>
    <x v="2"/>
    <x v="0"/>
    <s v="EAOF"/>
  </r>
  <r>
    <d v="2025-10-29T16:41:58"/>
    <x v="1"/>
    <x v="12"/>
    <x v="2"/>
    <x v="2"/>
    <x v="2"/>
    <x v="3"/>
    <s v="EAOF"/>
  </r>
  <r>
    <d v="2025-10-29T16:42:14"/>
    <x v="1"/>
    <x v="13"/>
    <x v="2"/>
    <x v="2"/>
    <x v="2"/>
    <x v="1"/>
    <s v="EAOF"/>
  </r>
  <r>
    <d v="2025-10-29T16:42:28"/>
    <x v="1"/>
    <x v="22"/>
    <x v="2"/>
    <x v="2"/>
    <x v="2"/>
    <x v="1"/>
    <s v="EAOF"/>
  </r>
  <r>
    <d v="2025-10-29T16:42:44"/>
    <x v="1"/>
    <x v="22"/>
    <x v="2"/>
    <x v="2"/>
    <x v="2"/>
    <x v="1"/>
    <s v="EAOF"/>
  </r>
  <r>
    <d v="2025-10-29T16:42:55"/>
    <x v="1"/>
    <x v="7"/>
    <x v="2"/>
    <x v="2"/>
    <x v="2"/>
    <x v="3"/>
    <s v="EAOF"/>
  </r>
  <r>
    <d v="2025-10-29T16:43:10"/>
    <x v="1"/>
    <x v="5"/>
    <x v="2"/>
    <x v="2"/>
    <x v="2"/>
    <x v="1"/>
    <s v="EAOF"/>
  </r>
  <r>
    <d v="2025-10-29T16:43:23"/>
    <x v="1"/>
    <x v="20"/>
    <x v="2"/>
    <x v="2"/>
    <x v="2"/>
    <x v="3"/>
    <s v="EAOF"/>
  </r>
  <r>
    <d v="2025-10-29T16:43:33"/>
    <x v="1"/>
    <x v="7"/>
    <x v="2"/>
    <x v="2"/>
    <x v="2"/>
    <x v="4"/>
    <s v="EAOF"/>
  </r>
  <r>
    <d v="2025-10-29T16:43:45"/>
    <x v="1"/>
    <x v="13"/>
    <x v="2"/>
    <x v="2"/>
    <x v="2"/>
    <x v="1"/>
    <s v="EAOF"/>
  </r>
  <r>
    <d v="2025-10-29T16:43:59"/>
    <x v="1"/>
    <x v="20"/>
    <x v="2"/>
    <x v="2"/>
    <x v="2"/>
    <x v="4"/>
    <s v="EAOF"/>
  </r>
  <r>
    <d v="2025-10-29T16:44:13"/>
    <x v="1"/>
    <x v="9"/>
    <x v="2"/>
    <x v="2"/>
    <x v="2"/>
    <x v="1"/>
    <s v="EAOF"/>
  </r>
  <r>
    <d v="2025-10-29T16:44:30"/>
    <x v="1"/>
    <x v="22"/>
    <x v="2"/>
    <x v="2"/>
    <x v="2"/>
    <x v="2"/>
    <s v="EAOF"/>
  </r>
  <r>
    <d v="2025-10-29T16:44:43"/>
    <x v="1"/>
    <x v="9"/>
    <x v="2"/>
    <x v="2"/>
    <x v="2"/>
    <x v="3"/>
    <s v="EAOF"/>
  </r>
  <r>
    <d v="2025-10-29T16:44:55"/>
    <x v="1"/>
    <x v="2"/>
    <x v="2"/>
    <x v="2"/>
    <x v="2"/>
    <x v="3"/>
    <s v="EAOF"/>
  </r>
  <r>
    <d v="2025-10-29T16:45:10"/>
    <x v="1"/>
    <x v="22"/>
    <x v="2"/>
    <x v="2"/>
    <x v="2"/>
    <x v="1"/>
    <s v="EAOF"/>
  </r>
  <r>
    <d v="2025-10-29T16:45:21"/>
    <x v="1"/>
    <x v="2"/>
    <x v="2"/>
    <x v="2"/>
    <x v="2"/>
    <x v="1"/>
    <s v="EAOF"/>
  </r>
  <r>
    <d v="2025-10-29T16:45:34"/>
    <x v="1"/>
    <x v="12"/>
    <x v="2"/>
    <x v="2"/>
    <x v="2"/>
    <x v="1"/>
    <s v="EAOF"/>
  </r>
  <r>
    <d v="2025-10-29T16:45:42"/>
    <x v="1"/>
    <x v="8"/>
    <x v="2"/>
    <x v="2"/>
    <x v="2"/>
    <x v="1"/>
    <s v="EAOF"/>
  </r>
  <r>
    <d v="2025-10-29T16:45:54"/>
    <x v="1"/>
    <x v="13"/>
    <x v="2"/>
    <x v="2"/>
    <x v="2"/>
    <x v="1"/>
    <s v="EAOF"/>
  </r>
  <r>
    <d v="2025-10-29T16:46:08"/>
    <x v="1"/>
    <x v="7"/>
    <x v="2"/>
    <x v="2"/>
    <x v="2"/>
    <x v="3"/>
    <s v="EAOF"/>
  </r>
  <r>
    <d v="2025-10-29T16:46:21"/>
    <x v="1"/>
    <x v="20"/>
    <x v="2"/>
    <x v="2"/>
    <x v="2"/>
    <x v="1"/>
    <s v="EAOF"/>
  </r>
  <r>
    <d v="2025-10-29T16:50:30"/>
    <x v="1"/>
    <x v="12"/>
    <x v="2"/>
    <x v="2"/>
    <x v="2"/>
    <x v="3"/>
    <s v="EAOF"/>
  </r>
  <r>
    <d v="2025-10-29T16:50:43"/>
    <x v="1"/>
    <x v="11"/>
    <x v="2"/>
    <x v="2"/>
    <x v="2"/>
    <x v="1"/>
    <s v="EAOF"/>
  </r>
  <r>
    <d v="2025-10-29T16:50:54"/>
    <x v="1"/>
    <x v="3"/>
    <x v="2"/>
    <x v="2"/>
    <x v="2"/>
    <x v="1"/>
    <s v="EAOF"/>
  </r>
  <r>
    <d v="2025-10-29T16:51:13"/>
    <x v="1"/>
    <x v="13"/>
    <x v="2"/>
    <x v="2"/>
    <x v="2"/>
    <x v="1"/>
    <s v="EAOF"/>
  </r>
  <r>
    <d v="2025-10-29T16:51:25"/>
    <x v="1"/>
    <x v="22"/>
    <x v="2"/>
    <x v="2"/>
    <x v="2"/>
    <x v="1"/>
    <s v="EAOF"/>
  </r>
  <r>
    <d v="2025-10-29T16:51:39"/>
    <x v="1"/>
    <x v="20"/>
    <x v="2"/>
    <x v="2"/>
    <x v="2"/>
    <x v="3"/>
    <s v="EAOF"/>
  </r>
  <r>
    <d v="2025-10-29T16:51:50"/>
    <x v="1"/>
    <x v="9"/>
    <x v="2"/>
    <x v="2"/>
    <x v="2"/>
    <x v="1"/>
    <s v="EAOF"/>
  </r>
  <r>
    <d v="2025-10-29T16:52:00"/>
    <x v="1"/>
    <x v="8"/>
    <x v="2"/>
    <x v="2"/>
    <x v="2"/>
    <x v="1"/>
    <s v="EAOF"/>
  </r>
  <r>
    <d v="2025-10-29T16:52:09"/>
    <x v="1"/>
    <x v="1"/>
    <x v="2"/>
    <x v="2"/>
    <x v="2"/>
    <x v="3"/>
    <s v="EAOF"/>
  </r>
  <r>
    <d v="2025-10-29T16:52:21"/>
    <x v="1"/>
    <x v="20"/>
    <x v="2"/>
    <x v="2"/>
    <x v="2"/>
    <x v="3"/>
    <s v="EAOF"/>
  </r>
  <r>
    <d v="2025-10-29T16:52:32"/>
    <x v="1"/>
    <x v="14"/>
    <x v="2"/>
    <x v="2"/>
    <x v="2"/>
    <x v="1"/>
    <s v="EAOF"/>
  </r>
  <r>
    <d v="2025-10-29T16:53:03"/>
    <x v="1"/>
    <x v="8"/>
    <x v="2"/>
    <x v="2"/>
    <x v="2"/>
    <x v="3"/>
    <s v="EAOF"/>
  </r>
  <r>
    <d v="2025-10-29T16:53:16"/>
    <x v="1"/>
    <x v="22"/>
    <x v="2"/>
    <x v="2"/>
    <x v="2"/>
    <x v="3"/>
    <s v="EAOF"/>
  </r>
  <r>
    <d v="2025-10-29T16:53:28"/>
    <x v="1"/>
    <x v="12"/>
    <x v="2"/>
    <x v="2"/>
    <x v="2"/>
    <x v="3"/>
    <s v="EAOF"/>
  </r>
  <r>
    <d v="2025-10-29T16:53:41"/>
    <x v="1"/>
    <x v="11"/>
    <x v="2"/>
    <x v="2"/>
    <x v="2"/>
    <x v="3"/>
    <s v="EAOF"/>
  </r>
  <r>
    <d v="2025-10-29T16:53:53"/>
    <x v="1"/>
    <x v="11"/>
    <x v="2"/>
    <x v="2"/>
    <x v="2"/>
    <x v="1"/>
    <s v="EAOF"/>
  </r>
  <r>
    <d v="2025-10-29T16:54:04"/>
    <x v="1"/>
    <x v="9"/>
    <x v="2"/>
    <x v="2"/>
    <x v="2"/>
    <x v="1"/>
    <s v="EAOF"/>
  </r>
  <r>
    <d v="2025-10-29T16:54:14"/>
    <x v="1"/>
    <x v="3"/>
    <x v="2"/>
    <x v="2"/>
    <x v="2"/>
    <x v="1"/>
    <s v="EAOF"/>
  </r>
  <r>
    <d v="2025-10-29T16:54:25"/>
    <x v="1"/>
    <x v="14"/>
    <x v="2"/>
    <x v="2"/>
    <x v="2"/>
    <x v="1"/>
    <s v="EAOF"/>
  </r>
  <r>
    <d v="2025-10-29T16:54:34"/>
    <x v="1"/>
    <x v="8"/>
    <x v="2"/>
    <x v="2"/>
    <x v="2"/>
    <x v="3"/>
    <s v="EAOF"/>
  </r>
  <r>
    <d v="2025-10-29T16:54:46"/>
    <x v="1"/>
    <x v="20"/>
    <x v="2"/>
    <x v="2"/>
    <x v="2"/>
    <x v="3"/>
    <s v="EAOF"/>
  </r>
  <r>
    <d v="2025-10-29T16:54:57"/>
    <x v="1"/>
    <x v="23"/>
    <x v="2"/>
    <x v="2"/>
    <x v="2"/>
    <x v="3"/>
    <s v="EAOF"/>
  </r>
  <r>
    <d v="2025-10-29T16:55:09"/>
    <x v="1"/>
    <x v="7"/>
    <x v="2"/>
    <x v="2"/>
    <x v="2"/>
    <x v="3"/>
    <s v="EAOF"/>
  </r>
  <r>
    <d v="2025-10-29T16:55:22"/>
    <x v="1"/>
    <x v="20"/>
    <x v="2"/>
    <x v="2"/>
    <x v="2"/>
    <x v="1"/>
    <s v="EAOF"/>
  </r>
  <r>
    <d v="2025-10-30T15:03:22"/>
    <x v="0"/>
    <x v="0"/>
    <x v="2"/>
    <x v="2"/>
    <x v="2"/>
    <x v="3"/>
    <s v="EAOF"/>
  </r>
  <r>
    <d v="2025-10-30T15:03:34"/>
    <x v="0"/>
    <x v="0"/>
    <x v="2"/>
    <x v="2"/>
    <x v="2"/>
    <x v="3"/>
    <s v="EAOF"/>
  </r>
  <r>
    <d v="2025-10-30T15:03:45"/>
    <x v="0"/>
    <x v="0"/>
    <x v="2"/>
    <x v="2"/>
    <x v="2"/>
    <x v="3"/>
    <s v="EAOF"/>
  </r>
  <r>
    <d v="2025-10-30T15:03:54"/>
    <x v="0"/>
    <x v="0"/>
    <x v="2"/>
    <x v="2"/>
    <x v="2"/>
    <x v="1"/>
    <s v="EAOF"/>
  </r>
  <r>
    <d v="2025-10-30T15:04:04"/>
    <x v="0"/>
    <x v="0"/>
    <x v="2"/>
    <x v="2"/>
    <x v="2"/>
    <x v="1"/>
    <s v="EAOF"/>
  </r>
  <r>
    <m/>
    <x v="2"/>
    <x v="0"/>
    <x v="4"/>
    <x v="3"/>
    <x v="2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7540C-61C3-4075-A826-514FC2F9B7CB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98:E104" firstHeaderRow="1" firstDataRow="2" firstDataCol="1" rowPageCount="1" colPageCount="1"/>
  <pivotFields count="8">
    <pivotField compact="0" outline="0" showAll="0"/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compact="0" outline="0" showAll="0"/>
    <pivotField axis="axisRow" dataField="1"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ontagem de 4POSTO / GRADUAÇÃ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15971-F053-49F2-A79E-EC237FD78EB9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I8" firstHeaderRow="1" firstDataRow="3" firstDataCol="1"/>
  <pivotFields count="8">
    <pivotField compact="0" outline="0" showAll="0"/>
    <pivotField axis="axisRow" dataField="1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2">
    <field x="5"/>
    <field x="4"/>
  </colFields>
  <colItems count="8">
    <i>
      <x/>
      <x/>
    </i>
    <i t="default">
      <x/>
    </i>
    <i>
      <x v="1"/>
      <x/>
    </i>
    <i t="default">
      <x v="1"/>
    </i>
    <i>
      <x v="2"/>
      <x v="1"/>
    </i>
    <i r="1">
      <x v="2"/>
    </i>
    <i t="default">
      <x v="2"/>
    </i>
    <i t="grand">
      <x/>
    </i>
  </colItems>
  <dataFields count="1">
    <dataField name="Contagem de 2Você já sofreu violênci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03EE0-23C4-4DD6-B79F-C0A7DCC08CB2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5:B62" firstHeaderRow="2" firstDataRow="2" firstDataCol="1"/>
  <pivotFields count="8"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h="1" x="4"/>
        <item x="0"/>
        <item x="1"/>
        <item t="default"/>
      </items>
    </pivotField>
    <pivotField compact="0" outline="0" showAll="0"/>
    <pivotField compact="0" outline="0" showAll="0"/>
    <pivotField axis="axisRow" dataField="1" compact="0" outline="0" showAll="0">
      <items count="6">
        <item x="2"/>
        <item x="1"/>
        <item x="3"/>
        <item x="4"/>
        <item x="0"/>
        <item t="default"/>
      </items>
    </pivotField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7Como você se autodeclara: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06D66-450C-4B96-BB66-AEF9AA727B3F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48:B53" firstHeaderRow="2" firstDataRow="2" firstDataCol="1"/>
  <pivotFields count="8"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h="1" x="4"/>
        <item x="0"/>
        <item x="1"/>
        <item t="default"/>
      </items>
    </pivotField>
    <pivotField axis="axisRow" dataField="1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5OM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7CE2C-1142-451E-AEB2-34F72F2C1DD4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9:F46" firstHeaderRow="1" firstDataRow="2" firstDataCol="1"/>
  <pivotFields count="8"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3"/>
        <item x="4"/>
        <item x="0"/>
        <item x="1"/>
        <item t="default"/>
      </items>
    </pivotField>
    <pivotField axis="axisCol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4POSTO / GRADUAÇÃ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47E4A-08C5-4D67-B66A-F16D7189AD74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0:B36" firstHeaderRow="2" firstDataRow="2" firstDataCol="1"/>
  <pivotFields count="8">
    <pivotField compact="0" outline="0" showAll="0"/>
    <pivotField compact="0" outline="0" showAll="0"/>
    <pivotField axis="axisRow" dataField="1" compact="0" outline="0" showAll="0">
      <items count="25">
        <item x="19"/>
        <item x="10"/>
        <item x="5"/>
        <item x="23"/>
        <item x="8"/>
        <item x="15"/>
        <item x="12"/>
        <item x="7"/>
        <item x="17"/>
        <item x="9"/>
        <item x="16"/>
        <item x="6"/>
        <item x="13"/>
        <item x="18"/>
        <item x="4"/>
        <item x="14"/>
        <item x="22"/>
        <item x="2"/>
        <item x="20"/>
        <item x="11"/>
        <item x="21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ntagem de 3Qual tipo de violência você sofreu?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07A69-97D7-4D90-8E0B-C1C8BA307C12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67:F92" firstHeaderRow="1" firstDataRow="2" firstDataCol="1" rowPageCount="1" colPageCount="1"/>
  <pivotFields count="8">
    <pivotField compact="0" outline="0" showAll="0"/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Row" dataField="1" compact="0" outline="0" showAll="0">
      <items count="25">
        <item x="19"/>
        <item x="10"/>
        <item x="5"/>
        <item x="23"/>
        <item x="8"/>
        <item x="15"/>
        <item x="12"/>
        <item x="7"/>
        <item x="17"/>
        <item x="9"/>
        <item x="16"/>
        <item x="6"/>
        <item x="13"/>
        <item x="18"/>
        <item x="4"/>
        <item x="14"/>
        <item x="22"/>
        <item x="2"/>
        <item x="20"/>
        <item x="11"/>
        <item x="21"/>
        <item x="3"/>
        <item x="1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ntagem de 3Qual tipo de violência você sofreu?" fld="2" subtotal="count" baseField="0" baseItem="0"/>
  </dataFields>
  <formats count="5">
    <format dxfId="5">
      <pivotArea outline="0" fieldPosition="0">
        <references count="2">
          <reference field="2" count="1" selected="0">
            <x v="4"/>
          </reference>
          <reference field="3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2" count="1">
            <x v="4"/>
          </reference>
        </references>
      </pivotArea>
    </format>
    <format dxfId="3">
      <pivotArea outline="0" fieldPosition="0">
        <references count="2">
          <reference field="2" count="1" selected="0">
            <x v="7"/>
          </reference>
          <reference field="3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2" count="1">
            <x v="7"/>
          </reference>
        </references>
      </pivotArea>
    </format>
    <format dxfId="1">
      <pivotArea outline="0" fieldPosition="0">
        <references count="2">
          <reference field="2" count="1" selected="0">
            <x v="7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06582-0F6D-4B52-97C7-666FB1BCE677}" name="Form_Responses" displayName="Form_Responses" ref="A1:H225">
  <autoFilter ref="A1:H225" xr:uid="{22906582-0F6D-4B52-97C7-666FB1BCE677}"/>
  <tableColumns count="8">
    <tableColumn id="1" xr3:uid="{B6EFDE82-D4A5-4291-86F3-916D5C65AC98}" name="1Carimbo de data/hora"/>
    <tableColumn id="2" xr3:uid="{4237FB40-A2A2-4E1A-BDAB-42E2D17B7D76}" name="2Você já sofreu violência?"/>
    <tableColumn id="3" xr3:uid="{B379D335-DEBF-4B8C-8130-4039C0BEF9D6}" name="3Qual tipo de violência você sofreu?"/>
    <tableColumn id="4" xr3:uid="{4AA46B6A-2D78-4C3A-84CE-A88F09AA6B2C}" name="4POSTO / GRADUAÇÃO"/>
    <tableColumn id="5" xr3:uid="{E89B6C59-F598-4CF9-84F3-352F4BC4F7C1}" name="5OM"/>
    <tableColumn id="6" xr3:uid="{CDAE0E79-1FA4-444B-87A7-7E1794283279}" name="6POSTO"/>
    <tableColumn id="7" xr3:uid="{53DCBC57-CA7E-441D-B83C-8AD7F4CB0310}" name="7Como você se autodeclara:" dataDxfId="6"/>
    <tableColumn id="8" xr3:uid="{26D6A04D-95DB-4120-9BC8-AD7572D5EEAF}" name="Coluna1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83A9-9223-44EA-8140-B13BB22FFF8A}">
  <dimension ref="A1:H225"/>
  <sheetViews>
    <sheetView topLeftCell="A5" workbookViewId="0">
      <selection activeCell="B27" sqref="B27"/>
    </sheetView>
  </sheetViews>
  <sheetFormatPr defaultColWidth="12.6640625" defaultRowHeight="14.4"/>
  <cols>
    <col min="1" max="1" width="21.21875" customWidth="1"/>
    <col min="2" max="2" width="23.33203125" customWidth="1"/>
    <col min="3" max="3" width="74.77734375" bestFit="1" customWidth="1"/>
    <col min="4" max="4" width="21.6640625" customWidth="1"/>
    <col min="5" max="10" width="18.88671875" customWidth="1"/>
  </cols>
  <sheetData>
    <row r="1" spans="1:8" ht="22.5" customHeight="1">
      <c r="A1" s="6" t="s">
        <v>79</v>
      </c>
      <c r="B1" s="6" t="s">
        <v>80</v>
      </c>
      <c r="C1" s="6" t="s">
        <v>81</v>
      </c>
      <c r="D1" s="6" t="s">
        <v>82</v>
      </c>
      <c r="E1" t="s">
        <v>83</v>
      </c>
      <c r="F1" t="s">
        <v>84</v>
      </c>
      <c r="G1" s="6" t="s">
        <v>85</v>
      </c>
      <c r="H1" t="s">
        <v>71</v>
      </c>
    </row>
    <row r="2" spans="1:8" ht="13.2" customHeight="1">
      <c r="A2" s="1">
        <v>45918.636860798608</v>
      </c>
      <c r="B2" s="2" t="s">
        <v>0</v>
      </c>
      <c r="C2" s="2"/>
      <c r="D2" s="2" t="s">
        <v>15</v>
      </c>
      <c r="E2" t="s">
        <v>14</v>
      </c>
      <c r="F2" t="s">
        <v>15</v>
      </c>
    </row>
    <row r="3" spans="1:8" ht="13.2" customHeight="1">
      <c r="A3" s="1">
        <v>45918.636914236107</v>
      </c>
      <c r="B3" s="8" t="s">
        <v>0</v>
      </c>
      <c r="C3" s="2"/>
      <c r="D3" s="2" t="s">
        <v>15</v>
      </c>
      <c r="E3" t="s">
        <v>14</v>
      </c>
      <c r="F3" t="s">
        <v>15</v>
      </c>
    </row>
    <row r="4" spans="1:8" ht="13.2" customHeight="1">
      <c r="A4" s="1">
        <v>45918.636966747683</v>
      </c>
      <c r="B4" s="2" t="s">
        <v>0</v>
      </c>
      <c r="C4" s="2"/>
      <c r="D4" s="2" t="s">
        <v>15</v>
      </c>
      <c r="E4" t="s">
        <v>14</v>
      </c>
      <c r="F4" t="s">
        <v>15</v>
      </c>
    </row>
    <row r="5" spans="1:8" ht="13.2" customHeight="1">
      <c r="A5" s="1">
        <v>45918.637023298608</v>
      </c>
      <c r="B5" s="2" t="s">
        <v>0</v>
      </c>
      <c r="C5" s="2"/>
      <c r="D5" s="2" t="s">
        <v>15</v>
      </c>
      <c r="E5" t="s">
        <v>14</v>
      </c>
      <c r="F5" t="s">
        <v>15</v>
      </c>
    </row>
    <row r="6" spans="1:8" ht="13.2" customHeight="1">
      <c r="A6" s="1">
        <v>45918.637076493054</v>
      </c>
      <c r="B6" s="2" t="s">
        <v>0</v>
      </c>
      <c r="C6" s="2"/>
      <c r="D6" s="2" t="s">
        <v>15</v>
      </c>
      <c r="E6" t="s">
        <v>14</v>
      </c>
      <c r="F6" t="s">
        <v>15</v>
      </c>
    </row>
    <row r="7" spans="1:8" ht="13.2" customHeight="1">
      <c r="A7" s="1">
        <v>45918.637135104167</v>
      </c>
      <c r="B7" s="2" t="s">
        <v>0</v>
      </c>
      <c r="C7" s="2"/>
      <c r="D7" s="2" t="s">
        <v>15</v>
      </c>
      <c r="E7" t="s">
        <v>14</v>
      </c>
      <c r="F7" t="s">
        <v>15</v>
      </c>
    </row>
    <row r="8" spans="1:8" ht="13.2" customHeight="1">
      <c r="A8" s="1">
        <v>45918.637193182869</v>
      </c>
      <c r="B8" s="2" t="s">
        <v>0</v>
      </c>
      <c r="C8" s="2"/>
      <c r="D8" s="2" t="s">
        <v>15</v>
      </c>
      <c r="E8" t="s">
        <v>14</v>
      </c>
      <c r="F8" t="s">
        <v>15</v>
      </c>
    </row>
    <row r="9" spans="1:8" ht="13.2" customHeight="1">
      <c r="A9" s="1">
        <v>45918.637252766202</v>
      </c>
      <c r="B9" s="2" t="s">
        <v>0</v>
      </c>
      <c r="C9" s="2"/>
      <c r="D9" s="2" t="s">
        <v>15</v>
      </c>
      <c r="E9" t="s">
        <v>14</v>
      </c>
      <c r="F9" t="s">
        <v>15</v>
      </c>
    </row>
    <row r="10" spans="1:8" ht="13.2" customHeight="1">
      <c r="A10" s="1">
        <v>45918.637317546294</v>
      </c>
      <c r="B10" s="2" t="s">
        <v>0</v>
      </c>
      <c r="C10" s="2"/>
      <c r="D10" s="2" t="s">
        <v>15</v>
      </c>
      <c r="E10" t="s">
        <v>14</v>
      </c>
      <c r="F10" t="s">
        <v>15</v>
      </c>
    </row>
    <row r="11" spans="1:8" ht="13.2" customHeight="1">
      <c r="A11" s="1">
        <v>45918.637383726847</v>
      </c>
      <c r="B11" s="2" t="s">
        <v>0</v>
      </c>
      <c r="C11" s="2"/>
      <c r="D11" s="2" t="s">
        <v>15</v>
      </c>
      <c r="E11" t="s">
        <v>14</v>
      </c>
      <c r="F11" t="s">
        <v>15</v>
      </c>
    </row>
    <row r="12" spans="1:8" ht="13.2" customHeight="1">
      <c r="A12" s="1">
        <v>45918.637453263887</v>
      </c>
      <c r="B12" s="2" t="s">
        <v>0</v>
      </c>
      <c r="C12" s="2"/>
      <c r="D12" s="2" t="s">
        <v>15</v>
      </c>
      <c r="E12" t="s">
        <v>14</v>
      </c>
      <c r="F12" t="s">
        <v>15</v>
      </c>
    </row>
    <row r="13" spans="1:8" ht="13.2" customHeight="1">
      <c r="A13" s="1">
        <v>45918.637520532408</v>
      </c>
      <c r="B13" s="2" t="s">
        <v>0</v>
      </c>
      <c r="C13" s="2"/>
      <c r="D13" s="2" t="s">
        <v>15</v>
      </c>
      <c r="E13" t="s">
        <v>14</v>
      </c>
      <c r="F13" t="s">
        <v>15</v>
      </c>
    </row>
    <row r="14" spans="1:8" ht="13.2" customHeight="1">
      <c r="A14" s="1">
        <v>45918.637587835648</v>
      </c>
      <c r="B14" s="2" t="s">
        <v>0</v>
      </c>
      <c r="C14" s="2"/>
      <c r="D14" s="2" t="s">
        <v>15</v>
      </c>
      <c r="E14" t="s">
        <v>14</v>
      </c>
      <c r="F14" t="s">
        <v>15</v>
      </c>
    </row>
    <row r="15" spans="1:8" ht="13.2" customHeight="1">
      <c r="A15" s="1">
        <v>45918.637652152778</v>
      </c>
      <c r="B15" s="2" t="s">
        <v>0</v>
      </c>
      <c r="C15" s="2"/>
      <c r="D15" s="2" t="s">
        <v>15</v>
      </c>
      <c r="E15" t="s">
        <v>14</v>
      </c>
      <c r="F15" t="s">
        <v>15</v>
      </c>
    </row>
    <row r="16" spans="1:8" ht="13.2" customHeight="1">
      <c r="A16" s="1">
        <v>45918.637706134265</v>
      </c>
      <c r="B16" s="2" t="s">
        <v>0</v>
      </c>
      <c r="C16" s="2"/>
      <c r="D16" s="2" t="s">
        <v>15</v>
      </c>
      <c r="E16" t="s">
        <v>14</v>
      </c>
      <c r="F16" t="s">
        <v>15</v>
      </c>
    </row>
    <row r="17" spans="1:6" ht="13.2" customHeight="1">
      <c r="A17" s="1">
        <v>45918.637768379631</v>
      </c>
      <c r="B17" s="2" t="s">
        <v>0</v>
      </c>
      <c r="C17" s="2"/>
      <c r="D17" s="2" t="s">
        <v>15</v>
      </c>
      <c r="E17" t="s">
        <v>14</v>
      </c>
      <c r="F17" t="s">
        <v>15</v>
      </c>
    </row>
    <row r="18" spans="1:6" ht="13.2" customHeight="1">
      <c r="A18" s="1">
        <v>45918.637828530089</v>
      </c>
      <c r="B18" s="2" t="s">
        <v>0</v>
      </c>
      <c r="C18" s="2"/>
      <c r="D18" s="2" t="s">
        <v>15</v>
      </c>
      <c r="E18" t="s">
        <v>14</v>
      </c>
      <c r="F18" t="s">
        <v>15</v>
      </c>
    </row>
    <row r="19" spans="1:6" ht="13.2" customHeight="1">
      <c r="A19" s="1">
        <v>45918.637896990738</v>
      </c>
      <c r="B19" s="2" t="s">
        <v>0</v>
      </c>
      <c r="C19" s="2"/>
      <c r="D19" s="2" t="s">
        <v>15</v>
      </c>
      <c r="E19" t="s">
        <v>14</v>
      </c>
      <c r="F19" t="s">
        <v>15</v>
      </c>
    </row>
    <row r="20" spans="1:6" ht="13.2" customHeight="1">
      <c r="A20" s="1">
        <v>45918.637953773148</v>
      </c>
      <c r="B20" s="2" t="s">
        <v>0</v>
      </c>
      <c r="C20" s="2"/>
      <c r="D20" s="2" t="s">
        <v>15</v>
      </c>
      <c r="E20" t="s">
        <v>14</v>
      </c>
      <c r="F20" t="s">
        <v>15</v>
      </c>
    </row>
    <row r="21" spans="1:6" ht="13.2" customHeight="1">
      <c r="A21" s="1">
        <v>45918.638006076391</v>
      </c>
      <c r="B21" s="2" t="s">
        <v>0</v>
      </c>
      <c r="C21" s="2"/>
      <c r="D21" s="2" t="s">
        <v>15</v>
      </c>
      <c r="E21" t="s">
        <v>14</v>
      </c>
      <c r="F21" t="s">
        <v>15</v>
      </c>
    </row>
    <row r="22" spans="1:6" ht="13.2" customHeight="1">
      <c r="A22" s="1">
        <v>45918.638069780092</v>
      </c>
      <c r="B22" s="2" t="s">
        <v>0</v>
      </c>
      <c r="C22" s="2"/>
      <c r="D22" s="2" t="s">
        <v>15</v>
      </c>
      <c r="E22" t="s">
        <v>14</v>
      </c>
      <c r="F22" t="s">
        <v>15</v>
      </c>
    </row>
    <row r="23" spans="1:6" ht="13.2" customHeight="1">
      <c r="A23" s="1">
        <v>45918.63819081019</v>
      </c>
      <c r="B23" s="2" t="s">
        <v>0</v>
      </c>
      <c r="C23" s="2"/>
      <c r="D23" s="2" t="s">
        <v>15</v>
      </c>
      <c r="E23" t="s">
        <v>14</v>
      </c>
      <c r="F23" t="s">
        <v>15</v>
      </c>
    </row>
    <row r="24" spans="1:6" ht="13.2" customHeight="1">
      <c r="A24" s="1">
        <v>45918.638240613422</v>
      </c>
      <c r="B24" s="2" t="s">
        <v>0</v>
      </c>
      <c r="C24" s="2"/>
      <c r="D24" s="2" t="s">
        <v>15</v>
      </c>
      <c r="E24" t="s">
        <v>14</v>
      </c>
      <c r="F24" t="s">
        <v>15</v>
      </c>
    </row>
    <row r="25" spans="1:6" ht="13.2" customHeight="1">
      <c r="A25" s="1">
        <v>45918.638287071764</v>
      </c>
      <c r="B25" s="2" t="s">
        <v>0</v>
      </c>
      <c r="C25" s="2"/>
      <c r="D25" s="2" t="s">
        <v>15</v>
      </c>
      <c r="E25" t="s">
        <v>14</v>
      </c>
      <c r="F25" t="s">
        <v>15</v>
      </c>
    </row>
    <row r="26" spans="1:6" ht="13.2" customHeight="1">
      <c r="A26" s="1">
        <v>45918.638337847224</v>
      </c>
      <c r="B26" s="2" t="s">
        <v>0</v>
      </c>
      <c r="C26" s="2"/>
      <c r="D26" s="2" t="s">
        <v>15</v>
      </c>
      <c r="E26" t="s">
        <v>14</v>
      </c>
      <c r="F26" t="s">
        <v>15</v>
      </c>
    </row>
    <row r="27" spans="1:6" ht="13.2" customHeight="1">
      <c r="A27" s="1">
        <v>45918.638388761574</v>
      </c>
      <c r="B27" s="2" t="s">
        <v>0</v>
      </c>
      <c r="C27" s="2"/>
      <c r="D27" s="2" t="s">
        <v>15</v>
      </c>
      <c r="E27" t="s">
        <v>14</v>
      </c>
      <c r="F27" t="s">
        <v>15</v>
      </c>
    </row>
    <row r="28" spans="1:6" ht="13.2" customHeight="1">
      <c r="A28" s="1">
        <v>45918.63844174768</v>
      </c>
      <c r="B28" s="2" t="s">
        <v>0</v>
      </c>
      <c r="C28" s="2"/>
      <c r="D28" s="2" t="s">
        <v>15</v>
      </c>
      <c r="E28" t="s">
        <v>14</v>
      </c>
      <c r="F28" t="s">
        <v>15</v>
      </c>
    </row>
    <row r="29" spans="1:6" ht="13.2" customHeight="1">
      <c r="A29" s="1">
        <v>45918.638495474537</v>
      </c>
      <c r="B29" s="2" t="s">
        <v>0</v>
      </c>
      <c r="C29" s="2"/>
      <c r="D29" s="2" t="s">
        <v>15</v>
      </c>
      <c r="E29" t="s">
        <v>14</v>
      </c>
      <c r="F29" t="s">
        <v>15</v>
      </c>
    </row>
    <row r="30" spans="1:6" ht="13.2" customHeight="1">
      <c r="A30" s="1">
        <v>45918.638548761577</v>
      </c>
      <c r="B30" s="2" t="s">
        <v>0</v>
      </c>
      <c r="C30" s="2"/>
      <c r="D30" s="2" t="s">
        <v>15</v>
      </c>
      <c r="E30" t="s">
        <v>14</v>
      </c>
      <c r="F30" t="s">
        <v>15</v>
      </c>
    </row>
    <row r="31" spans="1:6" ht="13.2" customHeight="1">
      <c r="A31" s="1">
        <v>45918.638604097221</v>
      </c>
      <c r="B31" s="2" t="s">
        <v>0</v>
      </c>
      <c r="C31" s="2"/>
      <c r="D31" s="2" t="s">
        <v>15</v>
      </c>
      <c r="E31" t="s">
        <v>14</v>
      </c>
      <c r="F31" t="s">
        <v>15</v>
      </c>
    </row>
    <row r="32" spans="1:6" ht="13.2" customHeight="1">
      <c r="A32" s="1">
        <v>45918.638654224538</v>
      </c>
      <c r="B32" s="2" t="s">
        <v>0</v>
      </c>
      <c r="C32" s="2"/>
      <c r="D32" s="2" t="s">
        <v>15</v>
      </c>
      <c r="E32" t="s">
        <v>14</v>
      </c>
      <c r="F32" t="s">
        <v>15</v>
      </c>
    </row>
    <row r="33" spans="1:6" ht="13.2" customHeight="1">
      <c r="A33" s="1">
        <v>45918.638708935185</v>
      </c>
      <c r="B33" s="2" t="s">
        <v>0</v>
      </c>
      <c r="C33" s="2"/>
      <c r="D33" s="2" t="s">
        <v>15</v>
      </c>
      <c r="E33" t="s">
        <v>14</v>
      </c>
      <c r="F33" t="s">
        <v>15</v>
      </c>
    </row>
    <row r="34" spans="1:6" ht="13.2" customHeight="1">
      <c r="A34" s="1">
        <v>45918.638765266209</v>
      </c>
      <c r="B34" s="2" t="s">
        <v>0</v>
      </c>
      <c r="C34" s="2"/>
      <c r="D34" s="2" t="s">
        <v>15</v>
      </c>
      <c r="E34" t="s">
        <v>14</v>
      </c>
      <c r="F34" t="s">
        <v>15</v>
      </c>
    </row>
    <row r="35" spans="1:6" ht="13.2" customHeight="1">
      <c r="A35" s="1">
        <v>45918.638812094912</v>
      </c>
      <c r="B35" s="2" t="s">
        <v>0</v>
      </c>
      <c r="C35" s="2"/>
      <c r="D35" s="2" t="s">
        <v>15</v>
      </c>
      <c r="E35" t="s">
        <v>14</v>
      </c>
      <c r="F35" t="s">
        <v>15</v>
      </c>
    </row>
    <row r="36" spans="1:6" ht="13.2" customHeight="1">
      <c r="A36" s="1">
        <v>45918.638868055554</v>
      </c>
      <c r="B36" s="2" t="s">
        <v>0</v>
      </c>
      <c r="C36" s="2"/>
      <c r="D36" s="2" t="s">
        <v>15</v>
      </c>
      <c r="E36" t="s">
        <v>14</v>
      </c>
      <c r="F36" t="s">
        <v>15</v>
      </c>
    </row>
    <row r="37" spans="1:6" ht="13.2" customHeight="1">
      <c r="A37" s="1">
        <v>45918.638917303237</v>
      </c>
      <c r="B37" s="2" t="s">
        <v>0</v>
      </c>
      <c r="C37" s="2"/>
      <c r="D37" s="2" t="s">
        <v>15</v>
      </c>
      <c r="E37" t="s">
        <v>14</v>
      </c>
      <c r="F37" t="s">
        <v>15</v>
      </c>
    </row>
    <row r="38" spans="1:6" ht="13.2" customHeight="1">
      <c r="A38" s="1">
        <v>45918.639009849532</v>
      </c>
      <c r="B38" s="2" t="s">
        <v>0</v>
      </c>
      <c r="C38" s="2"/>
      <c r="D38" s="2" t="s">
        <v>15</v>
      </c>
      <c r="E38" t="s">
        <v>14</v>
      </c>
      <c r="F38" t="s">
        <v>15</v>
      </c>
    </row>
    <row r="39" spans="1:6" ht="13.2" customHeight="1">
      <c r="A39" s="1">
        <v>45918.639071122685</v>
      </c>
      <c r="B39" s="2" t="s">
        <v>0</v>
      </c>
      <c r="C39" s="2"/>
      <c r="D39" s="2" t="s">
        <v>15</v>
      </c>
      <c r="E39" t="s">
        <v>14</v>
      </c>
      <c r="F39" t="s">
        <v>15</v>
      </c>
    </row>
    <row r="40" spans="1:6" ht="13.2" customHeight="1">
      <c r="A40" s="1">
        <v>45918.639139224542</v>
      </c>
      <c r="B40" s="2" t="s">
        <v>0</v>
      </c>
      <c r="C40" s="2"/>
      <c r="D40" s="2" t="s">
        <v>15</v>
      </c>
      <c r="E40" t="s">
        <v>14</v>
      </c>
      <c r="F40" t="s">
        <v>15</v>
      </c>
    </row>
    <row r="41" spans="1:6" ht="13.2" customHeight="1">
      <c r="A41" s="1">
        <v>45918.639259837961</v>
      </c>
      <c r="B41" s="2" t="s">
        <v>0</v>
      </c>
      <c r="C41" s="2"/>
      <c r="D41" s="2" t="s">
        <v>15</v>
      </c>
      <c r="E41" t="s">
        <v>14</v>
      </c>
      <c r="F41" t="s">
        <v>15</v>
      </c>
    </row>
    <row r="42" spans="1:6" ht="13.2" customHeight="1">
      <c r="A42" s="1">
        <v>45918.639317789348</v>
      </c>
      <c r="B42" s="2" t="s">
        <v>0</v>
      </c>
      <c r="C42" s="2"/>
      <c r="D42" s="2" t="s">
        <v>15</v>
      </c>
      <c r="E42" t="s">
        <v>14</v>
      </c>
      <c r="F42" t="s">
        <v>15</v>
      </c>
    </row>
    <row r="43" spans="1:6" ht="13.2" customHeight="1">
      <c r="A43" s="1">
        <v>45918.644346747686</v>
      </c>
      <c r="B43" s="2" t="s">
        <v>1</v>
      </c>
      <c r="C43" s="2" t="s">
        <v>2</v>
      </c>
      <c r="D43" s="2" t="s">
        <v>15</v>
      </c>
      <c r="E43" t="s">
        <v>14</v>
      </c>
      <c r="F43" t="s">
        <v>15</v>
      </c>
    </row>
    <row r="44" spans="1:6" ht="13.2" customHeight="1">
      <c r="A44" s="1">
        <v>45918.644439953699</v>
      </c>
      <c r="B44" s="2" t="s">
        <v>1</v>
      </c>
      <c r="C44" s="2" t="s">
        <v>2</v>
      </c>
      <c r="D44" s="2" t="s">
        <v>15</v>
      </c>
      <c r="E44" t="s">
        <v>14</v>
      </c>
      <c r="F44" t="s">
        <v>15</v>
      </c>
    </row>
    <row r="45" spans="1:6" ht="13.2" customHeight="1">
      <c r="A45" s="1">
        <v>45918.644588136573</v>
      </c>
      <c r="B45" s="2" t="s">
        <v>1</v>
      </c>
      <c r="C45" s="2" t="s">
        <v>3</v>
      </c>
      <c r="D45" s="2" t="s">
        <v>15</v>
      </c>
      <c r="E45" t="s">
        <v>14</v>
      </c>
      <c r="F45" t="s">
        <v>15</v>
      </c>
    </row>
    <row r="46" spans="1:6" ht="13.2" customHeight="1">
      <c r="A46" s="1">
        <v>45918.644675682866</v>
      </c>
      <c r="B46" s="2" t="s">
        <v>1</v>
      </c>
      <c r="C46" s="2" t="s">
        <v>4</v>
      </c>
      <c r="D46" s="2" t="s">
        <v>15</v>
      </c>
      <c r="E46" t="s">
        <v>14</v>
      </c>
      <c r="F46" t="s">
        <v>15</v>
      </c>
    </row>
    <row r="47" spans="1:6" ht="13.2" customHeight="1">
      <c r="A47" s="1">
        <v>45918.644883946763</v>
      </c>
      <c r="B47" s="2" t="s">
        <v>1</v>
      </c>
      <c r="C47" s="2" t="s">
        <v>5</v>
      </c>
      <c r="D47" s="2" t="s">
        <v>15</v>
      </c>
      <c r="E47" t="s">
        <v>14</v>
      </c>
      <c r="F47" t="s">
        <v>15</v>
      </c>
    </row>
    <row r="48" spans="1:6" ht="13.2" customHeight="1">
      <c r="A48" s="1">
        <v>45918.644973472226</v>
      </c>
      <c r="B48" s="2" t="s">
        <v>1</v>
      </c>
      <c r="C48" s="2" t="s">
        <v>2</v>
      </c>
      <c r="D48" s="2" t="s">
        <v>15</v>
      </c>
      <c r="E48" t="s">
        <v>14</v>
      </c>
      <c r="F48" t="s">
        <v>15</v>
      </c>
    </row>
    <row r="49" spans="1:6" ht="13.2" customHeight="1">
      <c r="A49" s="1">
        <v>45918.645078807866</v>
      </c>
      <c r="B49" s="2" t="s">
        <v>1</v>
      </c>
      <c r="C49" s="2" t="s">
        <v>4</v>
      </c>
      <c r="D49" s="2" t="s">
        <v>15</v>
      </c>
      <c r="E49" t="s">
        <v>14</v>
      </c>
      <c r="F49" t="s">
        <v>15</v>
      </c>
    </row>
    <row r="50" spans="1:6" ht="13.2" customHeight="1">
      <c r="A50" s="1">
        <v>45918.645193310185</v>
      </c>
      <c r="B50" s="2" t="s">
        <v>1</v>
      </c>
      <c r="C50" s="2" t="s">
        <v>3</v>
      </c>
      <c r="D50" s="2" t="s">
        <v>15</v>
      </c>
      <c r="E50" t="s">
        <v>14</v>
      </c>
      <c r="F50" t="s">
        <v>15</v>
      </c>
    </row>
    <row r="51" spans="1:6" ht="13.2" customHeight="1">
      <c r="A51" s="1">
        <v>45918.645285787032</v>
      </c>
      <c r="B51" s="2" t="s">
        <v>1</v>
      </c>
      <c r="C51" s="2" t="s">
        <v>2</v>
      </c>
      <c r="D51" s="2" t="s">
        <v>15</v>
      </c>
      <c r="E51" t="s">
        <v>14</v>
      </c>
      <c r="F51" t="s">
        <v>15</v>
      </c>
    </row>
    <row r="52" spans="1:6" ht="13.2" customHeight="1">
      <c r="A52" s="1">
        <v>45918.645379363428</v>
      </c>
      <c r="B52" s="2" t="s">
        <v>1</v>
      </c>
      <c r="C52" s="2" t="s">
        <v>6</v>
      </c>
      <c r="D52" s="2" t="s">
        <v>15</v>
      </c>
      <c r="E52" t="s">
        <v>14</v>
      </c>
      <c r="F52" t="s">
        <v>15</v>
      </c>
    </row>
    <row r="53" spans="1:6" ht="13.2" customHeight="1">
      <c r="A53" s="1">
        <v>45918.645488877315</v>
      </c>
      <c r="B53" s="2" t="s">
        <v>1</v>
      </c>
      <c r="C53" s="2" t="s">
        <v>4</v>
      </c>
      <c r="D53" s="2" t="s">
        <v>15</v>
      </c>
      <c r="E53" t="s">
        <v>14</v>
      </c>
      <c r="F53" t="s">
        <v>15</v>
      </c>
    </row>
    <row r="54" spans="1:6" ht="13.2" customHeight="1">
      <c r="A54" s="1">
        <v>45918.645695972227</v>
      </c>
      <c r="B54" s="2" t="s">
        <v>1</v>
      </c>
      <c r="C54" s="2" t="s">
        <v>7</v>
      </c>
      <c r="D54" s="2" t="s">
        <v>15</v>
      </c>
      <c r="E54" t="s">
        <v>14</v>
      </c>
      <c r="F54" t="s">
        <v>15</v>
      </c>
    </row>
    <row r="55" spans="1:6" ht="13.2" customHeight="1">
      <c r="A55" s="1">
        <v>45918.645972384256</v>
      </c>
      <c r="B55" s="2" t="s">
        <v>1</v>
      </c>
      <c r="C55" s="2" t="s">
        <v>2</v>
      </c>
      <c r="D55" s="2" t="s">
        <v>15</v>
      </c>
      <c r="E55" t="s">
        <v>14</v>
      </c>
      <c r="F55" t="s">
        <v>15</v>
      </c>
    </row>
    <row r="56" spans="1:6" ht="13.2" customHeight="1">
      <c r="A56" s="1">
        <v>45918.646075509256</v>
      </c>
      <c r="B56" s="2" t="s">
        <v>1</v>
      </c>
      <c r="C56" s="2" t="s">
        <v>2</v>
      </c>
      <c r="D56" s="2" t="s">
        <v>15</v>
      </c>
      <c r="E56" t="s">
        <v>14</v>
      </c>
      <c r="F56" t="s">
        <v>15</v>
      </c>
    </row>
    <row r="57" spans="1:6" ht="13.2" customHeight="1">
      <c r="A57" s="1">
        <v>45918.646178622686</v>
      </c>
      <c r="B57" s="2" t="s">
        <v>1</v>
      </c>
      <c r="C57" s="2" t="s">
        <v>2</v>
      </c>
      <c r="D57" s="2" t="s">
        <v>15</v>
      </c>
      <c r="E57" t="s">
        <v>14</v>
      </c>
      <c r="F57" t="s">
        <v>15</v>
      </c>
    </row>
    <row r="58" spans="1:6" ht="13.2" customHeight="1">
      <c r="A58" s="1">
        <v>45918.646274953702</v>
      </c>
      <c r="B58" s="2" t="s">
        <v>1</v>
      </c>
      <c r="C58" s="2" t="s">
        <v>2</v>
      </c>
      <c r="D58" s="2" t="s">
        <v>15</v>
      </c>
      <c r="E58" t="s">
        <v>14</v>
      </c>
      <c r="F58" t="s">
        <v>15</v>
      </c>
    </row>
    <row r="59" spans="1:6" ht="13.2" customHeight="1">
      <c r="A59" s="1">
        <v>45918.646406435189</v>
      </c>
      <c r="B59" s="2" t="s">
        <v>1</v>
      </c>
      <c r="C59" s="2" t="s">
        <v>8</v>
      </c>
      <c r="D59" s="2" t="s">
        <v>15</v>
      </c>
      <c r="E59" t="s">
        <v>14</v>
      </c>
      <c r="F59" t="s">
        <v>15</v>
      </c>
    </row>
    <row r="60" spans="1:6" ht="13.2" customHeight="1">
      <c r="A60" s="1">
        <v>45918.646553229162</v>
      </c>
      <c r="B60" s="2" t="s">
        <v>1</v>
      </c>
      <c r="C60" s="2" t="s">
        <v>8</v>
      </c>
      <c r="D60" s="2" t="s">
        <v>15</v>
      </c>
      <c r="E60" t="s">
        <v>14</v>
      </c>
      <c r="F60" t="s">
        <v>15</v>
      </c>
    </row>
    <row r="61" spans="1:6" ht="13.2" customHeight="1">
      <c r="A61" s="1">
        <v>45918.646658761572</v>
      </c>
      <c r="B61" s="2" t="s">
        <v>1</v>
      </c>
      <c r="C61" s="2" t="s">
        <v>8</v>
      </c>
      <c r="D61" s="2" t="s">
        <v>15</v>
      </c>
      <c r="E61" t="s">
        <v>14</v>
      </c>
      <c r="F61" t="s">
        <v>15</v>
      </c>
    </row>
    <row r="62" spans="1:6" ht="13.2" customHeight="1">
      <c r="A62" s="1">
        <v>45918.646751759261</v>
      </c>
      <c r="B62" s="2" t="s">
        <v>1</v>
      </c>
      <c r="C62" s="2" t="s">
        <v>8</v>
      </c>
      <c r="D62" s="2" t="s">
        <v>15</v>
      </c>
      <c r="E62" t="s">
        <v>14</v>
      </c>
      <c r="F62" t="s">
        <v>15</v>
      </c>
    </row>
    <row r="63" spans="1:6" ht="13.2" customHeight="1">
      <c r="A63" s="1">
        <v>45918.646862928239</v>
      </c>
      <c r="B63" s="2" t="s">
        <v>1</v>
      </c>
      <c r="C63" s="2" t="s">
        <v>9</v>
      </c>
      <c r="D63" s="2" t="s">
        <v>15</v>
      </c>
      <c r="E63" t="s">
        <v>14</v>
      </c>
      <c r="F63" t="s">
        <v>15</v>
      </c>
    </row>
    <row r="64" spans="1:6" ht="13.2" customHeight="1">
      <c r="A64" s="1">
        <v>45918.646952453702</v>
      </c>
      <c r="B64" s="2" t="s">
        <v>1</v>
      </c>
      <c r="C64" s="2" t="s">
        <v>9</v>
      </c>
      <c r="D64" s="2" t="s">
        <v>15</v>
      </c>
      <c r="E64" t="s">
        <v>14</v>
      </c>
      <c r="F64" t="s">
        <v>15</v>
      </c>
    </row>
    <row r="65" spans="1:6" ht="13.2" customHeight="1">
      <c r="A65" s="1">
        <v>45918.647080347218</v>
      </c>
      <c r="B65" s="2" t="s">
        <v>1</v>
      </c>
      <c r="C65" s="2" t="s">
        <v>10</v>
      </c>
      <c r="D65" s="2" t="s">
        <v>15</v>
      </c>
      <c r="E65" t="s">
        <v>14</v>
      </c>
      <c r="F65" t="s">
        <v>15</v>
      </c>
    </row>
    <row r="66" spans="1:6" ht="13.2" customHeight="1">
      <c r="A66" s="1">
        <v>45918.648102650463</v>
      </c>
      <c r="B66" s="2" t="s">
        <v>1</v>
      </c>
      <c r="C66" s="2" t="s">
        <v>11</v>
      </c>
      <c r="D66" s="2" t="s">
        <v>15</v>
      </c>
      <c r="E66" t="s">
        <v>14</v>
      </c>
      <c r="F66" t="s">
        <v>15</v>
      </c>
    </row>
    <row r="67" spans="1:6" ht="13.2" customHeight="1">
      <c r="A67" s="1">
        <v>45918.648254618056</v>
      </c>
      <c r="B67" s="2" t="s">
        <v>1</v>
      </c>
      <c r="C67" s="2" t="s">
        <v>10</v>
      </c>
      <c r="D67" s="2" t="s">
        <v>15</v>
      </c>
      <c r="E67" t="s">
        <v>14</v>
      </c>
      <c r="F67" t="s">
        <v>15</v>
      </c>
    </row>
    <row r="68" spans="1:6" ht="13.2" customHeight="1">
      <c r="A68" s="1">
        <v>45918.648360462961</v>
      </c>
      <c r="B68" s="2" t="s">
        <v>1</v>
      </c>
      <c r="C68" s="2" t="s">
        <v>12</v>
      </c>
      <c r="D68" s="2" t="s">
        <v>15</v>
      </c>
      <c r="E68" t="s">
        <v>14</v>
      </c>
      <c r="F68" t="s">
        <v>15</v>
      </c>
    </row>
    <row r="69" spans="1:6" ht="13.2" customHeight="1">
      <c r="A69" s="1">
        <v>45918.648471886576</v>
      </c>
      <c r="B69" s="2" t="s">
        <v>1</v>
      </c>
      <c r="C69" s="2" t="s">
        <v>8</v>
      </c>
      <c r="D69" s="2" t="s">
        <v>15</v>
      </c>
      <c r="E69" t="s">
        <v>14</v>
      </c>
      <c r="F69" t="s">
        <v>15</v>
      </c>
    </row>
    <row r="70" spans="1:6" ht="13.2" customHeight="1">
      <c r="A70" s="1">
        <v>45918.648545914351</v>
      </c>
      <c r="B70" s="2" t="s">
        <v>1</v>
      </c>
      <c r="C70" s="2" t="s">
        <v>9</v>
      </c>
      <c r="D70" s="2" t="s">
        <v>15</v>
      </c>
      <c r="E70" t="s">
        <v>14</v>
      </c>
      <c r="F70" t="s">
        <v>15</v>
      </c>
    </row>
    <row r="71" spans="1:6" ht="13.2" customHeight="1">
      <c r="A71" s="1">
        <v>45918.648628101852</v>
      </c>
      <c r="B71" s="2" t="s">
        <v>1</v>
      </c>
      <c r="C71" s="2" t="s">
        <v>11</v>
      </c>
      <c r="D71" s="2" t="s">
        <v>15</v>
      </c>
      <c r="E71" t="s">
        <v>14</v>
      </c>
      <c r="F71" t="s">
        <v>15</v>
      </c>
    </row>
    <row r="72" spans="1:6" ht="13.2" customHeight="1">
      <c r="A72" s="1">
        <v>45918.648744895836</v>
      </c>
      <c r="B72" s="2" t="s">
        <v>1</v>
      </c>
      <c r="C72" s="2" t="s">
        <v>11</v>
      </c>
      <c r="D72" s="2" t="s">
        <v>15</v>
      </c>
      <c r="E72" t="s">
        <v>14</v>
      </c>
      <c r="F72" t="s">
        <v>15</v>
      </c>
    </row>
    <row r="73" spans="1:6" ht="13.2" customHeight="1">
      <c r="A73" s="1">
        <v>45918.648825162032</v>
      </c>
      <c r="B73" s="2" t="s">
        <v>1</v>
      </c>
      <c r="C73" s="2" t="s">
        <v>9</v>
      </c>
      <c r="D73" s="2" t="s">
        <v>15</v>
      </c>
      <c r="E73" t="s">
        <v>14</v>
      </c>
      <c r="F73" t="s">
        <v>15</v>
      </c>
    </row>
    <row r="74" spans="1:6" ht="13.2" customHeight="1">
      <c r="A74" s="1">
        <v>45918.648927118054</v>
      </c>
      <c r="B74" s="2" t="s">
        <v>1</v>
      </c>
      <c r="C74" s="2" t="s">
        <v>9</v>
      </c>
      <c r="D74" s="2" t="s">
        <v>15</v>
      </c>
      <c r="E74" t="s">
        <v>14</v>
      </c>
      <c r="F74" t="s">
        <v>15</v>
      </c>
    </row>
    <row r="75" spans="1:6" ht="13.2" customHeight="1">
      <c r="A75" s="1">
        <v>45918.649038437499</v>
      </c>
      <c r="B75" s="2" t="s">
        <v>1</v>
      </c>
      <c r="C75" s="2" t="s">
        <v>8</v>
      </c>
      <c r="D75" s="2" t="s">
        <v>15</v>
      </c>
      <c r="E75" t="s">
        <v>14</v>
      </c>
      <c r="F75" t="s">
        <v>15</v>
      </c>
    </row>
    <row r="76" spans="1:6" ht="13.2" customHeight="1">
      <c r="A76" s="1">
        <v>45918.649147986114</v>
      </c>
      <c r="B76" s="2" t="s">
        <v>1</v>
      </c>
      <c r="C76" s="2" t="s">
        <v>6</v>
      </c>
      <c r="D76" s="2" t="s">
        <v>15</v>
      </c>
      <c r="E76" t="s">
        <v>14</v>
      </c>
      <c r="F76" t="s">
        <v>15</v>
      </c>
    </row>
    <row r="77" spans="1:6" ht="13.2" customHeight="1">
      <c r="A77" s="1">
        <v>45918.649242002313</v>
      </c>
      <c r="B77" s="2" t="s">
        <v>1</v>
      </c>
      <c r="C77" s="2" t="s">
        <v>8</v>
      </c>
      <c r="D77" s="2" t="s">
        <v>15</v>
      </c>
      <c r="E77" t="s">
        <v>14</v>
      </c>
      <c r="F77" t="s">
        <v>15</v>
      </c>
    </row>
    <row r="78" spans="1:6" ht="13.2" customHeight="1">
      <c r="A78" s="1">
        <v>45918.649361747681</v>
      </c>
      <c r="B78" s="2" t="s">
        <v>1</v>
      </c>
      <c r="C78" s="2" t="s">
        <v>9</v>
      </c>
      <c r="D78" s="2" t="s">
        <v>15</v>
      </c>
      <c r="E78" t="s">
        <v>14</v>
      </c>
      <c r="F78" t="s">
        <v>15</v>
      </c>
    </row>
    <row r="79" spans="1:6" ht="13.2" customHeight="1">
      <c r="A79" s="1">
        <v>45918.64944011574</v>
      </c>
      <c r="B79" s="2" t="s">
        <v>1</v>
      </c>
      <c r="C79" s="2" t="s">
        <v>11</v>
      </c>
      <c r="D79" s="2" t="s">
        <v>15</v>
      </c>
      <c r="E79" t="s">
        <v>14</v>
      </c>
      <c r="F79" t="s">
        <v>15</v>
      </c>
    </row>
    <row r="80" spans="1:6" ht="13.2" customHeight="1">
      <c r="A80" s="1">
        <v>45918.649535648146</v>
      </c>
      <c r="B80" s="2" t="s">
        <v>1</v>
      </c>
      <c r="C80" s="2" t="s">
        <v>11</v>
      </c>
      <c r="D80" s="2" t="s">
        <v>15</v>
      </c>
      <c r="E80" t="s">
        <v>14</v>
      </c>
      <c r="F80" t="s">
        <v>15</v>
      </c>
    </row>
    <row r="81" spans="1:6" ht="13.2" customHeight="1">
      <c r="A81" s="1">
        <v>45918.649613298607</v>
      </c>
      <c r="B81" s="2" t="s">
        <v>1</v>
      </c>
      <c r="C81" s="2" t="s">
        <v>9</v>
      </c>
      <c r="D81" s="2" t="s">
        <v>15</v>
      </c>
      <c r="E81" t="s">
        <v>14</v>
      </c>
      <c r="F81" t="s">
        <v>15</v>
      </c>
    </row>
    <row r="82" spans="1:6" ht="13.2" customHeight="1">
      <c r="A82" s="1">
        <v>45918.649705671298</v>
      </c>
      <c r="B82" s="2" t="s">
        <v>1</v>
      </c>
      <c r="C82" s="2" t="s">
        <v>9</v>
      </c>
      <c r="D82" s="2" t="s">
        <v>15</v>
      </c>
      <c r="E82" t="s">
        <v>14</v>
      </c>
      <c r="F82" t="s">
        <v>15</v>
      </c>
    </row>
    <row r="83" spans="1:6" ht="13.2" customHeight="1">
      <c r="A83" s="1">
        <v>45918.649784374997</v>
      </c>
      <c r="B83" s="2" t="s">
        <v>1</v>
      </c>
      <c r="C83" s="2" t="s">
        <v>8</v>
      </c>
      <c r="D83" s="2" t="s">
        <v>15</v>
      </c>
      <c r="E83" t="s">
        <v>14</v>
      </c>
      <c r="F83" t="s">
        <v>15</v>
      </c>
    </row>
    <row r="84" spans="1:6" ht="13.2" customHeight="1">
      <c r="A84" s="1">
        <v>45918.649873645831</v>
      </c>
      <c r="B84" s="2" t="s">
        <v>1</v>
      </c>
      <c r="C84" s="2" t="s">
        <v>11</v>
      </c>
      <c r="D84" s="2" t="s">
        <v>15</v>
      </c>
      <c r="E84" t="s">
        <v>14</v>
      </c>
      <c r="F84" t="s">
        <v>15</v>
      </c>
    </row>
    <row r="85" spans="1:6" ht="13.2" customHeight="1">
      <c r="A85" s="1">
        <v>45918.64997658565</v>
      </c>
      <c r="B85" s="2" t="s">
        <v>1</v>
      </c>
      <c r="C85" s="2" t="s">
        <v>8</v>
      </c>
      <c r="D85" s="2" t="s">
        <v>15</v>
      </c>
      <c r="E85" t="s">
        <v>14</v>
      </c>
      <c r="F85" t="s">
        <v>15</v>
      </c>
    </row>
    <row r="86" spans="1:6" ht="13.2" customHeight="1">
      <c r="A86" s="1">
        <v>45918.650068622686</v>
      </c>
      <c r="B86" s="2" t="s">
        <v>1</v>
      </c>
      <c r="C86" s="2" t="s">
        <v>9</v>
      </c>
      <c r="D86" s="2" t="s">
        <v>15</v>
      </c>
      <c r="E86" t="s">
        <v>14</v>
      </c>
      <c r="F86" t="s">
        <v>15</v>
      </c>
    </row>
    <row r="87" spans="1:6" ht="13.2" customHeight="1">
      <c r="A87" s="1">
        <v>45918.650158796299</v>
      </c>
      <c r="B87" s="2" t="s">
        <v>1</v>
      </c>
      <c r="C87" s="2" t="s">
        <v>8</v>
      </c>
      <c r="D87" s="2" t="s">
        <v>15</v>
      </c>
      <c r="E87" t="s">
        <v>14</v>
      </c>
      <c r="F87" t="s">
        <v>15</v>
      </c>
    </row>
    <row r="88" spans="1:6" ht="13.2" customHeight="1">
      <c r="A88" s="1">
        <v>45918.650258217589</v>
      </c>
      <c r="B88" s="2" t="s">
        <v>1</v>
      </c>
      <c r="C88" s="2" t="s">
        <v>11</v>
      </c>
      <c r="D88" s="2" t="s">
        <v>15</v>
      </c>
      <c r="E88" t="s">
        <v>14</v>
      </c>
      <c r="F88" t="s">
        <v>15</v>
      </c>
    </row>
    <row r="89" spans="1:6" ht="13.2" customHeight="1">
      <c r="A89" s="1">
        <v>45918.650372303237</v>
      </c>
      <c r="B89" s="2" t="s">
        <v>1</v>
      </c>
      <c r="C89" s="2" t="s">
        <v>13</v>
      </c>
      <c r="D89" s="2" t="s">
        <v>15</v>
      </c>
      <c r="E89" t="s">
        <v>14</v>
      </c>
      <c r="F89" t="s">
        <v>15</v>
      </c>
    </row>
    <row r="90" spans="1:6" ht="13.2" customHeight="1">
      <c r="A90" s="1">
        <v>45918.650472789348</v>
      </c>
      <c r="B90" s="2" t="s">
        <v>1</v>
      </c>
      <c r="C90" s="2" t="s">
        <v>9</v>
      </c>
      <c r="D90" s="2" t="s">
        <v>15</v>
      </c>
      <c r="E90" t="s">
        <v>14</v>
      </c>
      <c r="F90" t="s">
        <v>15</v>
      </c>
    </row>
    <row r="91" spans="1:6" ht="13.2" customHeight="1">
      <c r="A91" s="1">
        <v>45918.650591886573</v>
      </c>
      <c r="B91" s="2" t="s">
        <v>1</v>
      </c>
      <c r="C91" s="2" t="s">
        <v>11</v>
      </c>
      <c r="D91" s="2" t="s">
        <v>15</v>
      </c>
      <c r="E91" t="s">
        <v>14</v>
      </c>
      <c r="F91" t="s">
        <v>15</v>
      </c>
    </row>
    <row r="92" spans="1:6" s="5" customFormat="1" ht="13.2" customHeight="1">
      <c r="A92" s="3">
        <v>45918.650704953703</v>
      </c>
      <c r="B92" s="4" t="s">
        <v>1</v>
      </c>
      <c r="C92" s="4" t="s">
        <v>8</v>
      </c>
      <c r="D92" s="4" t="s">
        <v>15</v>
      </c>
      <c r="E92" s="5" t="s">
        <v>14</v>
      </c>
      <c r="F92" s="5" t="s">
        <v>15</v>
      </c>
    </row>
    <row r="93" spans="1:6">
      <c r="A93" t="s">
        <v>16</v>
      </c>
      <c r="B93" t="s">
        <v>0</v>
      </c>
      <c r="D93" t="s">
        <v>61</v>
      </c>
      <c r="E93" t="s">
        <v>14</v>
      </c>
      <c r="F93" t="s">
        <v>61</v>
      </c>
    </row>
    <row r="94" spans="1:6">
      <c r="A94" t="s">
        <v>17</v>
      </c>
      <c r="B94" t="s">
        <v>0</v>
      </c>
      <c r="D94" t="s">
        <v>61</v>
      </c>
      <c r="E94" t="s">
        <v>14</v>
      </c>
      <c r="F94" t="s">
        <v>61</v>
      </c>
    </row>
    <row r="95" spans="1:6">
      <c r="A95" t="s">
        <v>18</v>
      </c>
      <c r="B95" t="s">
        <v>0</v>
      </c>
      <c r="D95" t="s">
        <v>61</v>
      </c>
      <c r="E95" t="s">
        <v>14</v>
      </c>
      <c r="F95" t="s">
        <v>61</v>
      </c>
    </row>
    <row r="96" spans="1:6">
      <c r="A96" t="s">
        <v>19</v>
      </c>
      <c r="B96" t="s">
        <v>0</v>
      </c>
      <c r="D96" t="s">
        <v>61</v>
      </c>
      <c r="E96" t="s">
        <v>14</v>
      </c>
      <c r="F96" t="s">
        <v>61</v>
      </c>
    </row>
    <row r="97" spans="1:6">
      <c r="A97" t="s">
        <v>20</v>
      </c>
      <c r="B97" t="s">
        <v>0</v>
      </c>
      <c r="D97" t="s">
        <v>61</v>
      </c>
      <c r="E97" t="s">
        <v>14</v>
      </c>
      <c r="F97" t="s">
        <v>61</v>
      </c>
    </row>
    <row r="98" spans="1:6">
      <c r="A98" t="s">
        <v>21</v>
      </c>
      <c r="B98" t="s">
        <v>0</v>
      </c>
      <c r="D98" t="s">
        <v>61</v>
      </c>
      <c r="E98" t="s">
        <v>14</v>
      </c>
      <c r="F98" t="s">
        <v>61</v>
      </c>
    </row>
    <row r="99" spans="1:6">
      <c r="A99" t="s">
        <v>22</v>
      </c>
      <c r="B99" t="s">
        <v>0</v>
      </c>
      <c r="D99" t="s">
        <v>61</v>
      </c>
      <c r="E99" t="s">
        <v>14</v>
      </c>
      <c r="F99" t="s">
        <v>61</v>
      </c>
    </row>
    <row r="100" spans="1:6">
      <c r="A100" t="s">
        <v>23</v>
      </c>
      <c r="B100" t="s">
        <v>0</v>
      </c>
      <c r="D100" t="s">
        <v>61</v>
      </c>
      <c r="E100" t="s">
        <v>14</v>
      </c>
      <c r="F100" t="s">
        <v>61</v>
      </c>
    </row>
    <row r="101" spans="1:6">
      <c r="A101" t="s">
        <v>24</v>
      </c>
      <c r="B101" t="s">
        <v>0</v>
      </c>
      <c r="D101" t="s">
        <v>61</v>
      </c>
      <c r="E101" t="s">
        <v>14</v>
      </c>
      <c r="F101" t="s">
        <v>61</v>
      </c>
    </row>
    <row r="102" spans="1:6">
      <c r="A102" t="s">
        <v>25</v>
      </c>
      <c r="B102" t="s">
        <v>0</v>
      </c>
      <c r="D102" t="s">
        <v>61</v>
      </c>
      <c r="E102" t="s">
        <v>14</v>
      </c>
      <c r="F102" t="s">
        <v>61</v>
      </c>
    </row>
    <row r="103" spans="1:6">
      <c r="A103" t="s">
        <v>26</v>
      </c>
      <c r="B103" t="s">
        <v>0</v>
      </c>
      <c r="D103" t="s">
        <v>61</v>
      </c>
      <c r="E103" t="s">
        <v>14</v>
      </c>
      <c r="F103" t="s">
        <v>61</v>
      </c>
    </row>
    <row r="104" spans="1:6">
      <c r="A104" t="s">
        <v>27</v>
      </c>
      <c r="B104" t="s">
        <v>1</v>
      </c>
      <c r="C104" t="s">
        <v>8</v>
      </c>
      <c r="D104" t="s">
        <v>61</v>
      </c>
      <c r="E104" t="s">
        <v>14</v>
      </c>
      <c r="F104" t="s">
        <v>61</v>
      </c>
    </row>
    <row r="105" spans="1:6">
      <c r="A105" t="s">
        <v>28</v>
      </c>
      <c r="B105" t="s">
        <v>1</v>
      </c>
      <c r="C105" t="s">
        <v>8</v>
      </c>
      <c r="D105" t="s">
        <v>61</v>
      </c>
      <c r="E105" t="s">
        <v>14</v>
      </c>
      <c r="F105" t="s">
        <v>61</v>
      </c>
    </row>
    <row r="106" spans="1:6">
      <c r="A106" t="s">
        <v>29</v>
      </c>
      <c r="B106" t="s">
        <v>1</v>
      </c>
      <c r="C106" t="s">
        <v>8</v>
      </c>
      <c r="D106" t="s">
        <v>61</v>
      </c>
      <c r="E106" t="s">
        <v>14</v>
      </c>
      <c r="F106" t="s">
        <v>61</v>
      </c>
    </row>
    <row r="107" spans="1:6">
      <c r="A107" t="s">
        <v>30</v>
      </c>
      <c r="B107" t="s">
        <v>1</v>
      </c>
      <c r="C107" t="s">
        <v>11</v>
      </c>
      <c r="D107" t="s">
        <v>61</v>
      </c>
      <c r="E107" t="s">
        <v>14</v>
      </c>
      <c r="F107" t="s">
        <v>61</v>
      </c>
    </row>
    <row r="108" spans="1:6">
      <c r="A108" t="s">
        <v>31</v>
      </c>
      <c r="B108" t="s">
        <v>1</v>
      </c>
      <c r="C108" t="s">
        <v>32</v>
      </c>
      <c r="D108" t="s">
        <v>61</v>
      </c>
      <c r="E108" t="s">
        <v>14</v>
      </c>
      <c r="F108" t="s">
        <v>61</v>
      </c>
    </row>
    <row r="109" spans="1:6">
      <c r="A109" t="s">
        <v>33</v>
      </c>
      <c r="B109" t="s">
        <v>1</v>
      </c>
      <c r="C109" t="s">
        <v>3</v>
      </c>
      <c r="D109" t="s">
        <v>61</v>
      </c>
      <c r="E109" t="s">
        <v>14</v>
      </c>
      <c r="F109" t="s">
        <v>61</v>
      </c>
    </row>
    <row r="110" spans="1:6">
      <c r="A110" t="s">
        <v>34</v>
      </c>
      <c r="B110" t="s">
        <v>1</v>
      </c>
      <c r="C110" t="s">
        <v>9</v>
      </c>
      <c r="D110" t="s">
        <v>61</v>
      </c>
      <c r="E110" t="s">
        <v>14</v>
      </c>
      <c r="F110" t="s">
        <v>61</v>
      </c>
    </row>
    <row r="111" spans="1:6">
      <c r="A111" t="s">
        <v>35</v>
      </c>
      <c r="B111" t="s">
        <v>1</v>
      </c>
      <c r="C111" t="s">
        <v>32</v>
      </c>
      <c r="D111" t="s">
        <v>61</v>
      </c>
      <c r="E111" t="s">
        <v>14</v>
      </c>
      <c r="F111" t="s">
        <v>61</v>
      </c>
    </row>
    <row r="112" spans="1:6">
      <c r="A112" t="s">
        <v>36</v>
      </c>
      <c r="B112" t="s">
        <v>1</v>
      </c>
      <c r="C112" t="s">
        <v>37</v>
      </c>
      <c r="D112" t="s">
        <v>61</v>
      </c>
      <c r="E112" t="s">
        <v>14</v>
      </c>
      <c r="F112" t="s">
        <v>61</v>
      </c>
    </row>
    <row r="113" spans="1:6">
      <c r="A113" t="s">
        <v>38</v>
      </c>
      <c r="B113" t="s">
        <v>1</v>
      </c>
      <c r="C113" t="s">
        <v>3</v>
      </c>
      <c r="D113" t="s">
        <v>61</v>
      </c>
      <c r="E113" t="s">
        <v>14</v>
      </c>
      <c r="F113" t="s">
        <v>61</v>
      </c>
    </row>
    <row r="114" spans="1:6">
      <c r="A114" t="s">
        <v>39</v>
      </c>
      <c r="B114" t="s">
        <v>1</v>
      </c>
      <c r="C114" t="s">
        <v>3</v>
      </c>
      <c r="D114" t="s">
        <v>61</v>
      </c>
      <c r="E114" t="s">
        <v>14</v>
      </c>
      <c r="F114" t="s">
        <v>61</v>
      </c>
    </row>
    <row r="115" spans="1:6">
      <c r="A115" t="s">
        <v>40</v>
      </c>
      <c r="B115" t="s">
        <v>1</v>
      </c>
      <c r="C115" t="s">
        <v>41</v>
      </c>
      <c r="D115" t="s">
        <v>61</v>
      </c>
      <c r="E115" t="s">
        <v>14</v>
      </c>
      <c r="F115" t="s">
        <v>61</v>
      </c>
    </row>
    <row r="116" spans="1:6">
      <c r="A116" t="s">
        <v>42</v>
      </c>
      <c r="B116" t="s">
        <v>1</v>
      </c>
      <c r="C116" t="s">
        <v>3</v>
      </c>
      <c r="D116" t="s">
        <v>61</v>
      </c>
      <c r="E116" t="s">
        <v>14</v>
      </c>
      <c r="F116" t="s">
        <v>61</v>
      </c>
    </row>
    <row r="117" spans="1:6">
      <c r="A117" t="s">
        <v>43</v>
      </c>
      <c r="B117" t="s">
        <v>1</v>
      </c>
      <c r="C117" t="s">
        <v>8</v>
      </c>
      <c r="D117" t="s">
        <v>61</v>
      </c>
      <c r="E117" t="s">
        <v>14</v>
      </c>
      <c r="F117" t="s">
        <v>61</v>
      </c>
    </row>
    <row r="118" spans="1:6">
      <c r="A118" t="s">
        <v>44</v>
      </c>
      <c r="B118" t="s">
        <v>1</v>
      </c>
      <c r="C118" t="s">
        <v>8</v>
      </c>
      <c r="D118" t="s">
        <v>61</v>
      </c>
      <c r="E118" t="s">
        <v>14</v>
      </c>
      <c r="F118" t="s">
        <v>61</v>
      </c>
    </row>
    <row r="119" spans="1:6">
      <c r="A119" t="s">
        <v>45</v>
      </c>
      <c r="B119" t="s">
        <v>1</v>
      </c>
      <c r="C119" t="s">
        <v>32</v>
      </c>
      <c r="D119" t="s">
        <v>61</v>
      </c>
      <c r="E119" t="s">
        <v>14</v>
      </c>
      <c r="F119" t="s">
        <v>61</v>
      </c>
    </row>
    <row r="120" spans="1:6">
      <c r="A120" t="s">
        <v>46</v>
      </c>
      <c r="B120" t="s">
        <v>1</v>
      </c>
      <c r="C120" t="s">
        <v>8</v>
      </c>
      <c r="D120" t="s">
        <v>61</v>
      </c>
      <c r="E120" t="s">
        <v>14</v>
      </c>
      <c r="F120" t="s">
        <v>61</v>
      </c>
    </row>
    <row r="121" spans="1:6">
      <c r="A121" t="s">
        <v>47</v>
      </c>
      <c r="B121" t="s">
        <v>1</v>
      </c>
      <c r="C121" t="s">
        <v>48</v>
      </c>
      <c r="D121" t="s">
        <v>61</v>
      </c>
      <c r="E121" t="s">
        <v>14</v>
      </c>
      <c r="F121" t="s">
        <v>61</v>
      </c>
    </row>
    <row r="122" spans="1:6">
      <c r="A122" t="s">
        <v>49</v>
      </c>
      <c r="B122" t="s">
        <v>1</v>
      </c>
      <c r="C122" t="s">
        <v>8</v>
      </c>
      <c r="D122" t="s">
        <v>61</v>
      </c>
      <c r="E122" t="s">
        <v>14</v>
      </c>
      <c r="F122" t="s">
        <v>61</v>
      </c>
    </row>
    <row r="123" spans="1:6">
      <c r="A123" t="s">
        <v>50</v>
      </c>
      <c r="B123" t="s">
        <v>1</v>
      </c>
      <c r="C123" t="s">
        <v>51</v>
      </c>
      <c r="D123" t="s">
        <v>61</v>
      </c>
      <c r="E123" t="s">
        <v>14</v>
      </c>
      <c r="F123" t="s">
        <v>61</v>
      </c>
    </row>
    <row r="124" spans="1:6">
      <c r="A124" t="s">
        <v>52</v>
      </c>
      <c r="B124" t="s">
        <v>1</v>
      </c>
      <c r="C124" t="s">
        <v>2</v>
      </c>
      <c r="D124" t="s">
        <v>61</v>
      </c>
      <c r="E124" t="s">
        <v>14</v>
      </c>
      <c r="F124" t="s">
        <v>61</v>
      </c>
    </row>
    <row r="125" spans="1:6">
      <c r="A125" t="s">
        <v>53</v>
      </c>
      <c r="B125" t="s">
        <v>1</v>
      </c>
      <c r="C125" t="s">
        <v>51</v>
      </c>
      <c r="D125" t="s">
        <v>61</v>
      </c>
      <c r="E125" t="s">
        <v>14</v>
      </c>
      <c r="F125" t="s">
        <v>61</v>
      </c>
    </row>
    <row r="126" spans="1:6">
      <c r="A126" t="s">
        <v>54</v>
      </c>
      <c r="B126" t="s">
        <v>1</v>
      </c>
      <c r="C126" t="s">
        <v>8</v>
      </c>
      <c r="D126" t="s">
        <v>61</v>
      </c>
      <c r="E126" t="s">
        <v>14</v>
      </c>
      <c r="F126" t="s">
        <v>61</v>
      </c>
    </row>
    <row r="127" spans="1:6">
      <c r="A127" t="s">
        <v>55</v>
      </c>
      <c r="B127" t="s">
        <v>1</v>
      </c>
      <c r="C127" t="s">
        <v>2</v>
      </c>
      <c r="D127" t="s">
        <v>61</v>
      </c>
      <c r="E127" t="s">
        <v>14</v>
      </c>
      <c r="F127" t="s">
        <v>61</v>
      </c>
    </row>
    <row r="128" spans="1:6">
      <c r="A128" t="s">
        <v>56</v>
      </c>
      <c r="B128" t="s">
        <v>1</v>
      </c>
      <c r="C128" t="s">
        <v>48</v>
      </c>
      <c r="D128" t="s">
        <v>61</v>
      </c>
      <c r="E128" t="s">
        <v>14</v>
      </c>
      <c r="F128" t="s">
        <v>61</v>
      </c>
    </row>
    <row r="129" spans="1:7">
      <c r="A129" t="s">
        <v>57</v>
      </c>
      <c r="B129" t="s">
        <v>1</v>
      </c>
      <c r="C129" t="s">
        <v>8</v>
      </c>
      <c r="D129" t="s">
        <v>61</v>
      </c>
      <c r="E129" t="s">
        <v>14</v>
      </c>
      <c r="F129" t="s">
        <v>61</v>
      </c>
    </row>
    <row r="130" spans="1:7">
      <c r="A130" t="s">
        <v>58</v>
      </c>
      <c r="B130" t="s">
        <v>1</v>
      </c>
      <c r="C130" t="s">
        <v>59</v>
      </c>
      <c r="D130" t="s">
        <v>61</v>
      </c>
      <c r="E130" t="s">
        <v>14</v>
      </c>
      <c r="F130" t="s">
        <v>61</v>
      </c>
    </row>
    <row r="131" spans="1:7" s="5" customFormat="1">
      <c r="A131" s="5" t="s">
        <v>60</v>
      </c>
      <c r="B131" s="5" t="s">
        <v>1</v>
      </c>
      <c r="C131" s="5" t="s">
        <v>9</v>
      </c>
      <c r="D131" s="5" t="s">
        <v>61</v>
      </c>
      <c r="E131" s="5" t="s">
        <v>14</v>
      </c>
      <c r="F131" s="5" t="s">
        <v>61</v>
      </c>
    </row>
    <row r="132" spans="1:7">
      <c r="A132" s="7">
        <v>45930.470098981481</v>
      </c>
      <c r="B132" s="8" t="s">
        <v>0</v>
      </c>
      <c r="C132" s="8"/>
      <c r="D132" s="8" t="s">
        <v>62</v>
      </c>
      <c r="E132" t="s">
        <v>72</v>
      </c>
      <c r="G132" s="2" t="s">
        <v>63</v>
      </c>
    </row>
    <row r="133" spans="1:7">
      <c r="A133" s="7">
        <v>45930.470281504633</v>
      </c>
      <c r="B133" s="8" t="s">
        <v>0</v>
      </c>
      <c r="C133" s="8"/>
      <c r="D133" s="8" t="s">
        <v>62</v>
      </c>
      <c r="E133" t="s">
        <v>72</v>
      </c>
      <c r="G133" s="2" t="s">
        <v>64</v>
      </c>
    </row>
    <row r="134" spans="1:7">
      <c r="A134" s="7">
        <v>45930.470432766204</v>
      </c>
      <c r="B134" s="8" t="s">
        <v>0</v>
      </c>
      <c r="C134" s="8"/>
      <c r="D134" s="8" t="s">
        <v>62</v>
      </c>
      <c r="E134" t="s">
        <v>72</v>
      </c>
      <c r="G134" s="2" t="s">
        <v>63</v>
      </c>
    </row>
    <row r="135" spans="1:7">
      <c r="A135" s="7">
        <v>45930.47057711806</v>
      </c>
      <c r="B135" s="8" t="s">
        <v>0</v>
      </c>
      <c r="C135" s="8"/>
      <c r="D135" s="8" t="s">
        <v>65</v>
      </c>
      <c r="E135" t="s">
        <v>72</v>
      </c>
      <c r="G135" s="2" t="s">
        <v>66</v>
      </c>
    </row>
    <row r="136" spans="1:7">
      <c r="A136" s="7">
        <v>45930.470710717593</v>
      </c>
      <c r="B136" s="8" t="s">
        <v>0</v>
      </c>
      <c r="C136" s="8"/>
      <c r="D136" s="8" t="s">
        <v>65</v>
      </c>
      <c r="E136" t="s">
        <v>72</v>
      </c>
      <c r="G136" s="2" t="s">
        <v>63</v>
      </c>
    </row>
    <row r="137" spans="1:7">
      <c r="A137" s="7">
        <v>45930.470837650464</v>
      </c>
      <c r="B137" s="8" t="s">
        <v>0</v>
      </c>
      <c r="C137" s="8"/>
      <c r="D137" s="8" t="s">
        <v>65</v>
      </c>
      <c r="E137" t="s">
        <v>72</v>
      </c>
      <c r="G137" s="2" t="s">
        <v>63</v>
      </c>
    </row>
    <row r="138" spans="1:7">
      <c r="A138" s="7">
        <v>45930.470957233796</v>
      </c>
      <c r="B138" s="8" t="s">
        <v>0</v>
      </c>
      <c r="C138" s="8"/>
      <c r="D138" s="8" t="s">
        <v>65</v>
      </c>
      <c r="E138" t="s">
        <v>72</v>
      </c>
      <c r="G138" s="2" t="s">
        <v>63</v>
      </c>
    </row>
    <row r="139" spans="1:7">
      <c r="A139" s="7">
        <v>45930.471849583337</v>
      </c>
      <c r="B139" s="8" t="s">
        <v>1</v>
      </c>
      <c r="C139" s="8" t="s">
        <v>67</v>
      </c>
      <c r="D139" s="8" t="s">
        <v>65</v>
      </c>
      <c r="E139" t="s">
        <v>72</v>
      </c>
      <c r="G139" s="2" t="s">
        <v>63</v>
      </c>
    </row>
    <row r="140" spans="1:7">
      <c r="A140" s="7">
        <v>45930.471990150458</v>
      </c>
      <c r="B140" s="8" t="s">
        <v>1</v>
      </c>
      <c r="C140" s="8" t="s">
        <v>9</v>
      </c>
      <c r="D140" s="8" t="s">
        <v>65</v>
      </c>
      <c r="E140" t="s">
        <v>72</v>
      </c>
      <c r="G140" s="2" t="s">
        <v>68</v>
      </c>
    </row>
    <row r="141" spans="1:7">
      <c r="A141" s="7">
        <v>45930.472163587961</v>
      </c>
      <c r="B141" s="8" t="s">
        <v>1</v>
      </c>
      <c r="C141" s="8" t="s">
        <v>9</v>
      </c>
      <c r="D141" s="8" t="s">
        <v>65</v>
      </c>
      <c r="E141" t="s">
        <v>72</v>
      </c>
      <c r="G141" s="2" t="s">
        <v>66</v>
      </c>
    </row>
    <row r="142" spans="1:7">
      <c r="A142" s="7">
        <v>45930.472481273144</v>
      </c>
      <c r="B142" s="8" t="s">
        <v>1</v>
      </c>
      <c r="C142" s="8" t="s">
        <v>9</v>
      </c>
      <c r="D142" s="8" t="s">
        <v>65</v>
      </c>
      <c r="E142" t="s">
        <v>72</v>
      </c>
      <c r="G142" s="2" t="s">
        <v>63</v>
      </c>
    </row>
    <row r="143" spans="1:7">
      <c r="A143" s="7">
        <v>45930.473094791669</v>
      </c>
      <c r="B143" s="8" t="s">
        <v>1</v>
      </c>
      <c r="C143" s="8" t="s">
        <v>9</v>
      </c>
      <c r="D143" s="8" t="s">
        <v>65</v>
      </c>
      <c r="E143" t="s">
        <v>72</v>
      </c>
      <c r="G143" s="2" t="s">
        <v>68</v>
      </c>
    </row>
    <row r="144" spans="1:7">
      <c r="A144" s="7">
        <v>45930.473606585649</v>
      </c>
      <c r="B144" s="8" t="s">
        <v>1</v>
      </c>
      <c r="C144" s="8" t="s">
        <v>9</v>
      </c>
      <c r="D144" s="8" t="s">
        <v>62</v>
      </c>
      <c r="E144" t="s">
        <v>72</v>
      </c>
      <c r="G144" s="2" t="s">
        <v>63</v>
      </c>
    </row>
    <row r="145" spans="1:7">
      <c r="A145" s="7">
        <v>45930.47373646991</v>
      </c>
      <c r="B145" s="8" t="s">
        <v>1</v>
      </c>
      <c r="C145" s="8" t="s">
        <v>9</v>
      </c>
      <c r="D145" s="8" t="s">
        <v>62</v>
      </c>
      <c r="E145" t="s">
        <v>72</v>
      </c>
      <c r="G145" s="2" t="s">
        <v>66</v>
      </c>
    </row>
    <row r="146" spans="1:7">
      <c r="A146" s="7">
        <v>45930.474099155093</v>
      </c>
      <c r="B146" s="8" t="s">
        <v>1</v>
      </c>
      <c r="C146" s="8" t="s">
        <v>9</v>
      </c>
      <c r="D146" s="8" t="s">
        <v>62</v>
      </c>
      <c r="E146" t="s">
        <v>72</v>
      </c>
      <c r="G146" s="2" t="s">
        <v>63</v>
      </c>
    </row>
    <row r="147" spans="1:7">
      <c r="A147" s="7">
        <v>45930.474346319446</v>
      </c>
      <c r="B147" s="8" t="s">
        <v>1</v>
      </c>
      <c r="C147" s="8" t="s">
        <v>9</v>
      </c>
      <c r="D147" s="8" t="s">
        <v>62</v>
      </c>
      <c r="E147" t="s">
        <v>72</v>
      </c>
      <c r="G147" s="2" t="s">
        <v>66</v>
      </c>
    </row>
    <row r="148" spans="1:7">
      <c r="A148" s="7">
        <v>45930.474879965273</v>
      </c>
      <c r="B148" s="8" t="s">
        <v>1</v>
      </c>
      <c r="C148" s="8" t="s">
        <v>9</v>
      </c>
      <c r="D148" s="8" t="s">
        <v>62</v>
      </c>
      <c r="E148" t="s">
        <v>72</v>
      </c>
      <c r="G148" s="2" t="s">
        <v>66</v>
      </c>
    </row>
    <row r="149" spans="1:7">
      <c r="A149" s="7">
        <v>45930.486655150467</v>
      </c>
      <c r="B149" s="8" t="s">
        <v>1</v>
      </c>
      <c r="C149" s="8" t="s">
        <v>9</v>
      </c>
      <c r="D149" s="8" t="s">
        <v>62</v>
      </c>
      <c r="E149" t="s">
        <v>72</v>
      </c>
      <c r="G149" s="2" t="s">
        <v>63</v>
      </c>
    </row>
    <row r="150" spans="1:7">
      <c r="A150" s="7">
        <v>45930.474001539347</v>
      </c>
      <c r="B150" s="8" t="s">
        <v>1</v>
      </c>
      <c r="C150" s="8" t="s">
        <v>13</v>
      </c>
      <c r="D150" s="8" t="s">
        <v>62</v>
      </c>
      <c r="E150" t="s">
        <v>72</v>
      </c>
      <c r="G150" s="2" t="s">
        <v>66</v>
      </c>
    </row>
    <row r="151" spans="1:7">
      <c r="A151" s="7">
        <v>45930.471528645838</v>
      </c>
      <c r="B151" s="8" t="s">
        <v>1</v>
      </c>
      <c r="C151" s="8" t="s">
        <v>8</v>
      </c>
      <c r="D151" s="8" t="s">
        <v>65</v>
      </c>
      <c r="E151" t="s">
        <v>72</v>
      </c>
      <c r="G151" s="2" t="s">
        <v>68</v>
      </c>
    </row>
    <row r="152" spans="1:7">
      <c r="A152" s="7">
        <v>45930.471662615746</v>
      </c>
      <c r="B152" s="8" t="s">
        <v>1</v>
      </c>
      <c r="C152" s="8" t="s">
        <v>8</v>
      </c>
      <c r="D152" s="8" t="s">
        <v>65</v>
      </c>
      <c r="E152" t="s">
        <v>72</v>
      </c>
      <c r="G152" s="2" t="s">
        <v>64</v>
      </c>
    </row>
    <row r="153" spans="1:7">
      <c r="A153" s="7">
        <v>45930.473864016203</v>
      </c>
      <c r="B153" s="8" t="s">
        <v>1</v>
      </c>
      <c r="C153" s="8" t="s">
        <v>8</v>
      </c>
      <c r="D153" s="8" t="s">
        <v>62</v>
      </c>
      <c r="E153" t="s">
        <v>72</v>
      </c>
      <c r="G153" s="2" t="s">
        <v>63</v>
      </c>
    </row>
    <row r="154" spans="1:7">
      <c r="A154" s="7">
        <v>45930.47522418981</v>
      </c>
      <c r="B154" s="8" t="s">
        <v>1</v>
      </c>
      <c r="C154" s="8" t="s">
        <v>8</v>
      </c>
      <c r="D154" s="8" t="s">
        <v>62</v>
      </c>
      <c r="E154" t="s">
        <v>72</v>
      </c>
      <c r="G154" s="2" t="s">
        <v>63</v>
      </c>
    </row>
    <row r="155" spans="1:7">
      <c r="A155" s="7">
        <v>45930.475479120374</v>
      </c>
      <c r="B155" s="8" t="s">
        <v>1</v>
      </c>
      <c r="C155" s="8" t="s">
        <v>8</v>
      </c>
      <c r="D155" s="8" t="s">
        <v>62</v>
      </c>
      <c r="E155" t="s">
        <v>72</v>
      </c>
      <c r="G155" s="2" t="s">
        <v>66</v>
      </c>
    </row>
    <row r="156" spans="1:7">
      <c r="A156" s="7">
        <v>45930.474231875</v>
      </c>
      <c r="B156" s="8" t="s">
        <v>1</v>
      </c>
      <c r="C156" s="8" t="s">
        <v>12</v>
      </c>
      <c r="D156" s="8" t="s">
        <v>62</v>
      </c>
      <c r="E156" t="s">
        <v>72</v>
      </c>
      <c r="G156" s="2" t="s">
        <v>66</v>
      </c>
    </row>
    <row r="157" spans="1:7">
      <c r="A157" s="7">
        <v>45930.486514583332</v>
      </c>
      <c r="B157" s="8" t="s">
        <v>1</v>
      </c>
      <c r="C157" s="8" t="s">
        <v>8</v>
      </c>
      <c r="D157" s="8" t="s">
        <v>62</v>
      </c>
      <c r="E157" t="s">
        <v>72</v>
      </c>
      <c r="G157" s="2" t="s">
        <v>66</v>
      </c>
    </row>
    <row r="158" spans="1:7">
      <c r="A158" s="7">
        <v>45930.472649004631</v>
      </c>
      <c r="B158" s="8" t="s">
        <v>1</v>
      </c>
      <c r="C158" s="8" t="s">
        <v>10</v>
      </c>
      <c r="D158" s="8" t="s">
        <v>65</v>
      </c>
      <c r="E158" t="s">
        <v>72</v>
      </c>
      <c r="G158" s="2" t="s">
        <v>66</v>
      </c>
    </row>
    <row r="159" spans="1:7">
      <c r="A159" s="7">
        <v>45930.472812268519</v>
      </c>
      <c r="B159" s="8" t="s">
        <v>1</v>
      </c>
      <c r="C159" s="8" t="s">
        <v>10</v>
      </c>
      <c r="D159" s="8" t="s">
        <v>65</v>
      </c>
      <c r="E159" t="s">
        <v>72</v>
      </c>
      <c r="G159" s="2" t="s">
        <v>66</v>
      </c>
    </row>
    <row r="160" spans="1:7">
      <c r="A160" s="7">
        <v>45930.474766168976</v>
      </c>
      <c r="B160" s="8" t="s">
        <v>1</v>
      </c>
      <c r="C160" s="8" t="s">
        <v>10</v>
      </c>
      <c r="D160" s="8" t="s">
        <v>62</v>
      </c>
      <c r="E160" t="s">
        <v>72</v>
      </c>
      <c r="G160" s="2" t="s">
        <v>63</v>
      </c>
    </row>
    <row r="161" spans="1:8">
      <c r="A161" s="7">
        <v>45930.472952245371</v>
      </c>
      <c r="B161" s="8" t="s">
        <v>1</v>
      </c>
      <c r="C161" s="8" t="s">
        <v>32</v>
      </c>
      <c r="D161" s="8" t="s">
        <v>65</v>
      </c>
      <c r="E161" t="s">
        <v>72</v>
      </c>
      <c r="G161" s="2" t="s">
        <v>63</v>
      </c>
    </row>
    <row r="162" spans="1:8">
      <c r="A162" s="7">
        <v>45930.47326939815</v>
      </c>
      <c r="B162" s="8" t="s">
        <v>1</v>
      </c>
      <c r="C162" s="8" t="s">
        <v>32</v>
      </c>
      <c r="D162" s="8" t="s">
        <v>65</v>
      </c>
      <c r="E162" t="s">
        <v>72</v>
      </c>
      <c r="G162" s="2" t="s">
        <v>66</v>
      </c>
    </row>
    <row r="163" spans="1:8">
      <c r="A163" s="7">
        <v>45930.475366666666</v>
      </c>
      <c r="B163" s="8" t="s">
        <v>1</v>
      </c>
      <c r="C163" s="8" t="s">
        <v>32</v>
      </c>
      <c r="D163" s="8" t="s">
        <v>62</v>
      </c>
      <c r="E163" t="s">
        <v>72</v>
      </c>
      <c r="G163" s="2" t="s">
        <v>66</v>
      </c>
    </row>
    <row r="164" spans="1:8">
      <c r="A164" s="7">
        <v>45930.475056527779</v>
      </c>
      <c r="B164" s="8" t="s">
        <v>1</v>
      </c>
      <c r="C164" s="8" t="s">
        <v>37</v>
      </c>
      <c r="D164" s="8" t="s">
        <v>62</v>
      </c>
      <c r="E164" t="s">
        <v>72</v>
      </c>
      <c r="G164" s="2" t="s">
        <v>63</v>
      </c>
    </row>
    <row r="165" spans="1:8">
      <c r="A165" s="7">
        <v>45930.486964571755</v>
      </c>
      <c r="B165" s="8" t="s">
        <v>1</v>
      </c>
      <c r="C165" s="8" t="s">
        <v>37</v>
      </c>
      <c r="D165" s="8" t="s">
        <v>62</v>
      </c>
      <c r="E165" t="s">
        <v>72</v>
      </c>
      <c r="G165" s="2" t="s">
        <v>63</v>
      </c>
    </row>
    <row r="166" spans="1:8">
      <c r="A166" s="7">
        <v>45930.474542384254</v>
      </c>
      <c r="B166" s="8" t="s">
        <v>1</v>
      </c>
      <c r="C166" s="8" t="s">
        <v>69</v>
      </c>
      <c r="D166" s="8" t="s">
        <v>62</v>
      </c>
      <c r="E166" t="s">
        <v>72</v>
      </c>
      <c r="G166" s="2" t="s">
        <v>63</v>
      </c>
    </row>
    <row r="167" spans="1:8">
      <c r="A167" s="7">
        <v>45930.472351168981</v>
      </c>
      <c r="B167" s="8" t="s">
        <v>1</v>
      </c>
      <c r="C167" s="8" t="s">
        <v>70</v>
      </c>
      <c r="D167" s="8" t="s">
        <v>65</v>
      </c>
      <c r="E167" t="s">
        <v>72</v>
      </c>
      <c r="G167" s="2" t="s">
        <v>63</v>
      </c>
    </row>
    <row r="168" spans="1:8">
      <c r="A168" s="7">
        <v>45930.486809525464</v>
      </c>
      <c r="B168" s="8" t="s">
        <v>1</v>
      </c>
      <c r="C168" s="8" t="s">
        <v>4</v>
      </c>
      <c r="D168" s="8" t="s">
        <v>62</v>
      </c>
      <c r="E168" t="s">
        <v>72</v>
      </c>
      <c r="G168" s="2" t="s">
        <v>63</v>
      </c>
    </row>
    <row r="169" spans="1:8">
      <c r="A169" s="7">
        <v>45930.474004629628</v>
      </c>
      <c r="B169" s="8" t="s">
        <v>1</v>
      </c>
      <c r="C169" s="8" t="s">
        <v>13</v>
      </c>
      <c r="D169" s="8" t="s">
        <v>62</v>
      </c>
      <c r="E169" t="s">
        <v>72</v>
      </c>
      <c r="G169" s="8" t="s">
        <v>66</v>
      </c>
    </row>
    <row r="170" spans="1:8" s="5" customFormat="1">
      <c r="A170" s="9">
        <v>45930.470104166663</v>
      </c>
      <c r="B170" s="10" t="s">
        <v>0</v>
      </c>
      <c r="C170" s="10"/>
      <c r="D170" s="10" t="s">
        <v>62</v>
      </c>
      <c r="E170" s="5" t="s">
        <v>72</v>
      </c>
      <c r="G170" s="4" t="s">
        <v>63</v>
      </c>
    </row>
    <row r="171" spans="1:8">
      <c r="A171" s="7">
        <v>45959.694702650464</v>
      </c>
      <c r="B171" s="8" t="s">
        <v>0</v>
      </c>
      <c r="C171" s="8"/>
      <c r="D171" s="8" t="s">
        <v>62</v>
      </c>
      <c r="E171" s="8" t="s">
        <v>76</v>
      </c>
      <c r="G171" s="8"/>
      <c r="H171" t="s">
        <v>75</v>
      </c>
    </row>
    <row r="172" spans="1:8">
      <c r="A172" s="7">
        <v>45959.694766655091</v>
      </c>
      <c r="B172" s="8" t="s">
        <v>0</v>
      </c>
      <c r="C172" s="8"/>
      <c r="D172" s="8" t="s">
        <v>62</v>
      </c>
      <c r="E172" s="8" t="s">
        <v>76</v>
      </c>
      <c r="G172" s="8"/>
      <c r="H172" t="s">
        <v>75</v>
      </c>
    </row>
    <row r="173" spans="1:8">
      <c r="A173" s="7">
        <v>45959.694845104168</v>
      </c>
      <c r="B173" s="8" t="s">
        <v>0</v>
      </c>
      <c r="C173" s="8"/>
      <c r="D173" s="8" t="s">
        <v>62</v>
      </c>
      <c r="E173" s="8" t="s">
        <v>76</v>
      </c>
      <c r="G173" s="8"/>
      <c r="H173" t="s">
        <v>75</v>
      </c>
    </row>
    <row r="174" spans="1:8">
      <c r="A174" s="7">
        <v>45959.694911770828</v>
      </c>
      <c r="B174" s="8" t="s">
        <v>0</v>
      </c>
      <c r="C174" s="8"/>
      <c r="D174" s="8" t="s">
        <v>62</v>
      </c>
      <c r="E174" s="8" t="s">
        <v>76</v>
      </c>
      <c r="G174" s="8"/>
      <c r="H174" t="s">
        <v>75</v>
      </c>
    </row>
    <row r="175" spans="1:8">
      <c r="A175" s="7">
        <v>45959.694977349536</v>
      </c>
      <c r="B175" s="8" t="s">
        <v>0</v>
      </c>
      <c r="C175" s="8"/>
      <c r="D175" s="8" t="s">
        <v>62</v>
      </c>
      <c r="E175" s="8" t="s">
        <v>76</v>
      </c>
      <c r="G175" s="8"/>
      <c r="H175" t="s">
        <v>75</v>
      </c>
    </row>
    <row r="176" spans="1:8">
      <c r="A176" s="7">
        <v>45959.695810671299</v>
      </c>
      <c r="B176" s="8" t="s">
        <v>1</v>
      </c>
      <c r="C176" s="8" t="s">
        <v>13</v>
      </c>
      <c r="D176" s="8" t="s">
        <v>62</v>
      </c>
      <c r="E176" s="8" t="s">
        <v>76</v>
      </c>
      <c r="G176" s="8" t="s">
        <v>66</v>
      </c>
      <c r="H176" t="s">
        <v>75</v>
      </c>
    </row>
    <row r="177" spans="1:8">
      <c r="A177" s="7">
        <v>45959.695997858798</v>
      </c>
      <c r="B177" s="8" t="s">
        <v>1</v>
      </c>
      <c r="C177" s="8" t="s">
        <v>32</v>
      </c>
      <c r="D177" s="8" t="s">
        <v>62</v>
      </c>
      <c r="E177" s="8" t="s">
        <v>76</v>
      </c>
      <c r="G177" s="8" t="s">
        <v>63</v>
      </c>
      <c r="H177" t="s">
        <v>75</v>
      </c>
    </row>
    <row r="178" spans="1:8">
      <c r="A178" s="7">
        <v>45959.696156157406</v>
      </c>
      <c r="B178" s="8" t="s">
        <v>1</v>
      </c>
      <c r="C178" s="8" t="s">
        <v>73</v>
      </c>
      <c r="D178" s="8" t="s">
        <v>62</v>
      </c>
      <c r="E178" s="8" t="s">
        <v>76</v>
      </c>
      <c r="G178" s="8" t="s">
        <v>63</v>
      </c>
      <c r="H178" t="s">
        <v>75</v>
      </c>
    </row>
    <row r="179" spans="1:8">
      <c r="A179" s="7">
        <v>45959.696338124995</v>
      </c>
      <c r="B179" s="8" t="s">
        <v>1</v>
      </c>
      <c r="C179" s="8" t="s">
        <v>73</v>
      </c>
      <c r="D179" s="8" t="s">
        <v>62</v>
      </c>
      <c r="E179" s="8" t="s">
        <v>76</v>
      </c>
      <c r="G179" s="8" t="s">
        <v>63</v>
      </c>
      <c r="H179" t="s">
        <v>75</v>
      </c>
    </row>
    <row r="180" spans="1:8">
      <c r="A180" s="7">
        <v>45959.696468229165</v>
      </c>
      <c r="B180" s="8" t="s">
        <v>1</v>
      </c>
      <c r="C180" s="8" t="s">
        <v>8</v>
      </c>
      <c r="D180" s="8" t="s">
        <v>62</v>
      </c>
      <c r="E180" s="8" t="s">
        <v>76</v>
      </c>
      <c r="G180" s="8" t="s">
        <v>66</v>
      </c>
      <c r="H180" t="s">
        <v>75</v>
      </c>
    </row>
    <row r="181" spans="1:8">
      <c r="A181" s="7">
        <v>45959.696646053242</v>
      </c>
      <c r="B181" s="8" t="s">
        <v>1</v>
      </c>
      <c r="C181" s="8" t="s">
        <v>6</v>
      </c>
      <c r="D181" s="8" t="s">
        <v>62</v>
      </c>
      <c r="E181" s="8" t="s">
        <v>76</v>
      </c>
      <c r="G181" s="8" t="s">
        <v>63</v>
      </c>
      <c r="H181" t="s">
        <v>75</v>
      </c>
    </row>
    <row r="182" spans="1:8">
      <c r="A182" s="7">
        <v>45959.696799594909</v>
      </c>
      <c r="B182" s="8" t="s">
        <v>1</v>
      </c>
      <c r="C182" s="8" t="s">
        <v>69</v>
      </c>
      <c r="D182" s="8" t="s">
        <v>62</v>
      </c>
      <c r="E182" s="8" t="s">
        <v>76</v>
      </c>
      <c r="G182" s="8" t="s">
        <v>66</v>
      </c>
      <c r="H182" t="s">
        <v>75</v>
      </c>
    </row>
    <row r="183" spans="1:8">
      <c r="A183" s="7">
        <v>45959.696913032407</v>
      </c>
      <c r="B183" s="8" t="s">
        <v>1</v>
      </c>
      <c r="C183" s="8" t="s">
        <v>8</v>
      </c>
      <c r="D183" s="8" t="s">
        <v>62</v>
      </c>
      <c r="E183" s="8" t="s">
        <v>76</v>
      </c>
      <c r="G183" s="8" t="s">
        <v>68</v>
      </c>
      <c r="H183" t="s">
        <v>75</v>
      </c>
    </row>
    <row r="184" spans="1:8">
      <c r="A184" s="7">
        <v>45959.697049363429</v>
      </c>
      <c r="B184" s="8" t="s">
        <v>1</v>
      </c>
      <c r="C184" s="8" t="s">
        <v>32</v>
      </c>
      <c r="D184" s="8" t="s">
        <v>62</v>
      </c>
      <c r="E184" s="8" t="s">
        <v>76</v>
      </c>
      <c r="G184" s="8" t="s">
        <v>63</v>
      </c>
      <c r="H184" t="s">
        <v>75</v>
      </c>
    </row>
    <row r="185" spans="1:8">
      <c r="A185" s="7">
        <v>45959.697206168981</v>
      </c>
      <c r="B185" s="8" t="s">
        <v>1</v>
      </c>
      <c r="C185" s="8" t="s">
        <v>69</v>
      </c>
      <c r="D185" s="8" t="s">
        <v>62</v>
      </c>
      <c r="E185" s="8" t="s">
        <v>76</v>
      </c>
      <c r="G185" s="8" t="s">
        <v>68</v>
      </c>
      <c r="H185" t="s">
        <v>75</v>
      </c>
    </row>
    <row r="186" spans="1:8">
      <c r="A186" s="7">
        <v>45959.697370219903</v>
      </c>
      <c r="B186" s="8" t="s">
        <v>1</v>
      </c>
      <c r="C186" s="8" t="s">
        <v>10</v>
      </c>
      <c r="D186" s="8" t="s">
        <v>62</v>
      </c>
      <c r="E186" s="8" t="s">
        <v>76</v>
      </c>
      <c r="G186" s="8" t="s">
        <v>63</v>
      </c>
      <c r="H186" t="s">
        <v>75</v>
      </c>
    </row>
    <row r="187" spans="1:8">
      <c r="A187" s="7">
        <v>45959.697563726848</v>
      </c>
      <c r="B187" s="8" t="s">
        <v>1</v>
      </c>
      <c r="C187" s="8" t="s">
        <v>73</v>
      </c>
      <c r="D187" s="8" t="s">
        <v>62</v>
      </c>
      <c r="E187" s="8" t="s">
        <v>76</v>
      </c>
      <c r="G187" s="8" t="s">
        <v>64</v>
      </c>
      <c r="H187" t="s">
        <v>75</v>
      </c>
    </row>
    <row r="188" spans="1:8">
      <c r="A188" s="7">
        <v>45959.697716261573</v>
      </c>
      <c r="B188" s="8" t="s">
        <v>1</v>
      </c>
      <c r="C188" s="8" t="s">
        <v>10</v>
      </c>
      <c r="D188" s="8" t="s">
        <v>62</v>
      </c>
      <c r="E188" s="8" t="s">
        <v>76</v>
      </c>
      <c r="G188" s="8" t="s">
        <v>66</v>
      </c>
      <c r="H188" t="s">
        <v>75</v>
      </c>
    </row>
    <row r="189" spans="1:8">
      <c r="A189" s="7">
        <v>45959.697864282411</v>
      </c>
      <c r="B189" s="8" t="s">
        <v>1</v>
      </c>
      <c r="C189" s="8" t="s">
        <v>3</v>
      </c>
      <c r="D189" s="8" t="s">
        <v>62</v>
      </c>
      <c r="E189" s="8" t="s">
        <v>76</v>
      </c>
      <c r="G189" s="8" t="s">
        <v>66</v>
      </c>
      <c r="H189" t="s">
        <v>75</v>
      </c>
    </row>
    <row r="190" spans="1:8">
      <c r="A190" s="7">
        <v>45959.698032245375</v>
      </c>
      <c r="B190" s="8" t="s">
        <v>1</v>
      </c>
      <c r="C190" s="8" t="s">
        <v>73</v>
      </c>
      <c r="D190" s="8" t="s">
        <v>62</v>
      </c>
      <c r="E190" s="8" t="s">
        <v>76</v>
      </c>
      <c r="G190" s="8" t="s">
        <v>63</v>
      </c>
      <c r="H190" t="s">
        <v>75</v>
      </c>
    </row>
    <row r="191" spans="1:8">
      <c r="A191" s="7">
        <v>45959.698161342589</v>
      </c>
      <c r="B191" s="8" t="s">
        <v>1</v>
      </c>
      <c r="C191" s="8" t="s">
        <v>3</v>
      </c>
      <c r="D191" s="8" t="s">
        <v>62</v>
      </c>
      <c r="E191" s="8" t="s">
        <v>76</v>
      </c>
      <c r="G191" s="8" t="s">
        <v>63</v>
      </c>
      <c r="H191" t="s">
        <v>75</v>
      </c>
    </row>
    <row r="192" spans="1:8">
      <c r="A192" s="7">
        <v>45959.698309861109</v>
      </c>
      <c r="B192" s="8" t="s">
        <v>1</v>
      </c>
      <c r="C192" s="8" t="s">
        <v>13</v>
      </c>
      <c r="D192" s="8" t="s">
        <v>62</v>
      </c>
      <c r="E192" s="8" t="s">
        <v>76</v>
      </c>
      <c r="G192" s="8" t="s">
        <v>63</v>
      </c>
      <c r="H192" t="s">
        <v>75</v>
      </c>
    </row>
    <row r="193" spans="1:8">
      <c r="A193" s="7">
        <v>45959.698407222226</v>
      </c>
      <c r="B193" s="8" t="s">
        <v>1</v>
      </c>
      <c r="C193" s="8" t="s">
        <v>9</v>
      </c>
      <c r="D193" s="8" t="s">
        <v>62</v>
      </c>
      <c r="E193" s="8" t="s">
        <v>76</v>
      </c>
      <c r="G193" s="8" t="s">
        <v>63</v>
      </c>
      <c r="H193" t="s">
        <v>75</v>
      </c>
    </row>
    <row r="194" spans="1:8">
      <c r="A194" s="7">
        <v>45959.698546678235</v>
      </c>
      <c r="B194" s="8" t="s">
        <v>1</v>
      </c>
      <c r="C194" s="8" t="s">
        <v>32</v>
      </c>
      <c r="D194" s="8" t="s">
        <v>62</v>
      </c>
      <c r="E194" s="8" t="s">
        <v>76</v>
      </c>
      <c r="G194" s="8" t="s">
        <v>63</v>
      </c>
      <c r="H194" t="s">
        <v>75</v>
      </c>
    </row>
    <row r="195" spans="1:8">
      <c r="A195" s="7">
        <v>45959.698703379632</v>
      </c>
      <c r="B195" s="8" t="s">
        <v>1</v>
      </c>
      <c r="C195" s="8" t="s">
        <v>8</v>
      </c>
      <c r="D195" s="8" t="s">
        <v>62</v>
      </c>
      <c r="E195" s="8" t="s">
        <v>76</v>
      </c>
      <c r="G195" s="8" t="s">
        <v>66</v>
      </c>
      <c r="H195" t="s">
        <v>75</v>
      </c>
    </row>
    <row r="196" spans="1:8">
      <c r="A196" s="7">
        <v>45959.698853645838</v>
      </c>
      <c r="B196" s="8" t="s">
        <v>1</v>
      </c>
      <c r="C196" s="8" t="s">
        <v>69</v>
      </c>
      <c r="D196" s="8" t="s">
        <v>62</v>
      </c>
      <c r="E196" s="8" t="s">
        <v>76</v>
      </c>
      <c r="G196" s="8" t="s">
        <v>63</v>
      </c>
      <c r="H196" t="s">
        <v>75</v>
      </c>
    </row>
    <row r="197" spans="1:8">
      <c r="A197" s="7">
        <v>45959.701738958334</v>
      </c>
      <c r="B197" s="8" t="s">
        <v>1</v>
      </c>
      <c r="C197" s="8" t="s">
        <v>13</v>
      </c>
      <c r="D197" s="8" t="s">
        <v>62</v>
      </c>
      <c r="E197" s="8" t="s">
        <v>76</v>
      </c>
      <c r="G197" s="8" t="s">
        <v>66</v>
      </c>
      <c r="H197" t="s">
        <v>75</v>
      </c>
    </row>
    <row r="198" spans="1:8">
      <c r="A198" s="7">
        <v>45959.701891770834</v>
      </c>
      <c r="B198" s="8" t="s">
        <v>1</v>
      </c>
      <c r="C198" s="8" t="s">
        <v>12</v>
      </c>
      <c r="D198" s="8" t="s">
        <v>62</v>
      </c>
      <c r="E198" s="8" t="s">
        <v>76</v>
      </c>
      <c r="G198" s="8" t="s">
        <v>63</v>
      </c>
      <c r="H198" t="s">
        <v>75</v>
      </c>
    </row>
    <row r="199" spans="1:8">
      <c r="A199" s="7">
        <v>45959.702019074073</v>
      </c>
      <c r="B199" s="8" t="s">
        <v>1</v>
      </c>
      <c r="C199" s="8" t="s">
        <v>4</v>
      </c>
      <c r="D199" s="8" t="s">
        <v>62</v>
      </c>
      <c r="E199" s="8" t="s">
        <v>76</v>
      </c>
      <c r="G199" s="8" t="s">
        <v>63</v>
      </c>
      <c r="H199" t="s">
        <v>75</v>
      </c>
    </row>
    <row r="200" spans="1:8">
      <c r="A200" s="7">
        <v>45959.702236273151</v>
      </c>
      <c r="B200" s="8" t="s">
        <v>1</v>
      </c>
      <c r="C200" s="8" t="s">
        <v>32</v>
      </c>
      <c r="D200" s="8" t="s">
        <v>62</v>
      </c>
      <c r="E200" s="8" t="s">
        <v>76</v>
      </c>
      <c r="G200" s="8" t="s">
        <v>63</v>
      </c>
      <c r="H200" t="s">
        <v>75</v>
      </c>
    </row>
    <row r="201" spans="1:8">
      <c r="A201" s="7">
        <v>45959.702377499998</v>
      </c>
      <c r="B201" s="8" t="s">
        <v>1</v>
      </c>
      <c r="C201" s="8" t="s">
        <v>73</v>
      </c>
      <c r="D201" s="8" t="s">
        <v>62</v>
      </c>
      <c r="E201" s="8" t="s">
        <v>76</v>
      </c>
      <c r="G201" s="8" t="s">
        <v>63</v>
      </c>
      <c r="H201" t="s">
        <v>75</v>
      </c>
    </row>
    <row r="202" spans="1:8">
      <c r="A202" s="7">
        <v>45959.702530451388</v>
      </c>
      <c r="B202" s="8" t="s">
        <v>1</v>
      </c>
      <c r="C202" s="8" t="s">
        <v>69</v>
      </c>
      <c r="D202" s="8" t="s">
        <v>62</v>
      </c>
      <c r="E202" s="8" t="s">
        <v>76</v>
      </c>
      <c r="G202" s="8" t="s">
        <v>66</v>
      </c>
      <c r="H202" t="s">
        <v>75</v>
      </c>
    </row>
    <row r="203" spans="1:8">
      <c r="A203" s="7">
        <v>45959.702663206015</v>
      </c>
      <c r="B203" s="8" t="s">
        <v>1</v>
      </c>
      <c r="C203" s="8" t="s">
        <v>10</v>
      </c>
      <c r="D203" s="8" t="s">
        <v>62</v>
      </c>
      <c r="E203" s="8" t="s">
        <v>76</v>
      </c>
      <c r="G203" s="8" t="s">
        <v>63</v>
      </c>
      <c r="H203" t="s">
        <v>75</v>
      </c>
    </row>
    <row r="204" spans="1:8">
      <c r="A204" s="7">
        <v>45959.702776435181</v>
      </c>
      <c r="B204" s="8" t="s">
        <v>1</v>
      </c>
      <c r="C204" s="8" t="s">
        <v>9</v>
      </c>
      <c r="D204" s="8" t="s">
        <v>62</v>
      </c>
      <c r="E204" s="8" t="s">
        <v>76</v>
      </c>
      <c r="G204" s="8" t="s">
        <v>63</v>
      </c>
      <c r="H204" t="s">
        <v>75</v>
      </c>
    </row>
    <row r="205" spans="1:8">
      <c r="A205" s="7">
        <v>45959.702879918987</v>
      </c>
      <c r="B205" s="8" t="s">
        <v>1</v>
      </c>
      <c r="C205" s="8" t="s">
        <v>2</v>
      </c>
      <c r="D205" s="8" t="s">
        <v>62</v>
      </c>
      <c r="E205" s="8" t="s">
        <v>76</v>
      </c>
      <c r="G205" s="8" t="s">
        <v>66</v>
      </c>
      <c r="H205" t="s">
        <v>75</v>
      </c>
    </row>
    <row r="206" spans="1:8">
      <c r="A206" s="7">
        <v>45959.703017164356</v>
      </c>
      <c r="B206" s="8" t="s">
        <v>1</v>
      </c>
      <c r="C206" s="8" t="s">
        <v>69</v>
      </c>
      <c r="D206" s="8" t="s">
        <v>62</v>
      </c>
      <c r="E206" s="8" t="s">
        <v>76</v>
      </c>
      <c r="G206" s="8" t="s">
        <v>66</v>
      </c>
      <c r="H206" t="s">
        <v>75</v>
      </c>
    </row>
    <row r="207" spans="1:8">
      <c r="A207" s="7">
        <v>45959.703152662041</v>
      </c>
      <c r="B207" s="8" t="s">
        <v>1</v>
      </c>
      <c r="C207" s="8" t="s">
        <v>37</v>
      </c>
      <c r="D207" s="8" t="s">
        <v>62</v>
      </c>
      <c r="E207" s="8" t="s">
        <v>76</v>
      </c>
      <c r="G207" s="8" t="s">
        <v>63</v>
      </c>
      <c r="H207" t="s">
        <v>75</v>
      </c>
    </row>
    <row r="208" spans="1:8">
      <c r="A208" s="7">
        <v>45959.703504548612</v>
      </c>
      <c r="B208" s="8" t="s">
        <v>1</v>
      </c>
      <c r="C208" s="8" t="s">
        <v>9</v>
      </c>
      <c r="D208" s="8" t="s">
        <v>62</v>
      </c>
      <c r="E208" s="8" t="s">
        <v>76</v>
      </c>
      <c r="G208" s="8" t="s">
        <v>66</v>
      </c>
      <c r="H208" t="s">
        <v>75</v>
      </c>
    </row>
    <row r="209" spans="1:8">
      <c r="A209" s="7">
        <v>45959.703654722223</v>
      </c>
      <c r="B209" s="8" t="s">
        <v>1</v>
      </c>
      <c r="C209" s="8" t="s">
        <v>73</v>
      </c>
      <c r="D209" s="8" t="s">
        <v>62</v>
      </c>
      <c r="E209" s="8" t="s">
        <v>76</v>
      </c>
      <c r="G209" s="8" t="s">
        <v>66</v>
      </c>
      <c r="H209" t="s">
        <v>75</v>
      </c>
    </row>
    <row r="210" spans="1:8">
      <c r="A210" s="7">
        <v>45959.703794849542</v>
      </c>
      <c r="B210" s="8" t="s">
        <v>1</v>
      </c>
      <c r="C210" s="8" t="s">
        <v>13</v>
      </c>
      <c r="D210" s="8" t="s">
        <v>62</v>
      </c>
      <c r="E210" s="8" t="s">
        <v>76</v>
      </c>
      <c r="G210" s="8" t="s">
        <v>66</v>
      </c>
      <c r="H210" t="s">
        <v>75</v>
      </c>
    </row>
    <row r="211" spans="1:8">
      <c r="A211" s="7">
        <v>45959.703944988425</v>
      </c>
      <c r="B211" s="8" t="s">
        <v>1</v>
      </c>
      <c r="C211" s="8" t="s">
        <v>12</v>
      </c>
      <c r="D211" s="8" t="s">
        <v>62</v>
      </c>
      <c r="E211" s="8" t="s">
        <v>76</v>
      </c>
      <c r="G211" s="8" t="s">
        <v>66</v>
      </c>
      <c r="H211" t="s">
        <v>75</v>
      </c>
    </row>
    <row r="212" spans="1:8">
      <c r="A212" s="7">
        <v>45959.704079965275</v>
      </c>
      <c r="B212" s="8" t="s">
        <v>1</v>
      </c>
      <c r="C212" s="8" t="s">
        <v>12</v>
      </c>
      <c r="D212" s="8" t="s">
        <v>62</v>
      </c>
      <c r="E212" s="8" t="s">
        <v>76</v>
      </c>
      <c r="G212" s="8" t="s">
        <v>63</v>
      </c>
      <c r="H212" t="s">
        <v>75</v>
      </c>
    </row>
    <row r="213" spans="1:8">
      <c r="A213" s="7">
        <v>45959.704210729164</v>
      </c>
      <c r="B213" s="8" t="s">
        <v>1</v>
      </c>
      <c r="C213" s="8" t="s">
        <v>10</v>
      </c>
      <c r="D213" s="8" t="s">
        <v>62</v>
      </c>
      <c r="E213" s="8" t="s">
        <v>76</v>
      </c>
      <c r="G213" s="8" t="s">
        <v>63</v>
      </c>
      <c r="H213" t="s">
        <v>75</v>
      </c>
    </row>
    <row r="214" spans="1:8">
      <c r="A214" s="7">
        <v>45959.704324363425</v>
      </c>
      <c r="B214" s="8" t="s">
        <v>1</v>
      </c>
      <c r="C214" s="8" t="s">
        <v>4</v>
      </c>
      <c r="D214" s="8" t="s">
        <v>62</v>
      </c>
      <c r="E214" s="8" t="s">
        <v>76</v>
      </c>
      <c r="G214" s="8" t="s">
        <v>63</v>
      </c>
      <c r="H214" t="s">
        <v>75</v>
      </c>
    </row>
    <row r="215" spans="1:8">
      <c r="A215" s="7">
        <v>45959.704458078704</v>
      </c>
      <c r="B215" s="8" t="s">
        <v>1</v>
      </c>
      <c r="C215" s="8" t="s">
        <v>37</v>
      </c>
      <c r="D215" s="8" t="s">
        <v>62</v>
      </c>
      <c r="E215" s="8" t="s">
        <v>76</v>
      </c>
      <c r="G215" s="8" t="s">
        <v>63</v>
      </c>
      <c r="H215" t="s">
        <v>75</v>
      </c>
    </row>
    <row r="216" spans="1:8">
      <c r="A216" s="7">
        <v>45959.704559004633</v>
      </c>
      <c r="B216" s="8" t="s">
        <v>1</v>
      </c>
      <c r="C216" s="8" t="s">
        <v>9</v>
      </c>
      <c r="D216" s="8" t="s">
        <v>62</v>
      </c>
      <c r="E216" s="8" t="s">
        <v>76</v>
      </c>
      <c r="G216" s="8" t="s">
        <v>66</v>
      </c>
      <c r="H216" t="s">
        <v>75</v>
      </c>
    </row>
    <row r="217" spans="1:8">
      <c r="A217" s="7">
        <v>45959.704701331022</v>
      </c>
      <c r="B217" s="8" t="s">
        <v>1</v>
      </c>
      <c r="C217" s="8" t="s">
        <v>69</v>
      </c>
      <c r="D217" s="8" t="s">
        <v>62</v>
      </c>
      <c r="E217" s="8" t="s">
        <v>76</v>
      </c>
      <c r="G217" s="8" t="s">
        <v>66</v>
      </c>
      <c r="H217" t="s">
        <v>75</v>
      </c>
    </row>
    <row r="218" spans="1:8">
      <c r="A218" s="7">
        <v>45959.704831828705</v>
      </c>
      <c r="B218" s="8" t="s">
        <v>1</v>
      </c>
      <c r="C218" s="8" t="s">
        <v>74</v>
      </c>
      <c r="D218" s="8" t="s">
        <v>62</v>
      </c>
      <c r="E218" s="8" t="s">
        <v>76</v>
      </c>
      <c r="G218" s="8" t="s">
        <v>66</v>
      </c>
      <c r="H218" t="s">
        <v>75</v>
      </c>
    </row>
    <row r="219" spans="1:8">
      <c r="A219" s="7">
        <v>45959.704968090278</v>
      </c>
      <c r="B219" s="8" t="s">
        <v>1</v>
      </c>
      <c r="C219" s="8" t="s">
        <v>8</v>
      </c>
      <c r="D219" s="8" t="s">
        <v>62</v>
      </c>
      <c r="E219" s="8" t="s">
        <v>76</v>
      </c>
      <c r="G219" s="8" t="s">
        <v>66</v>
      </c>
      <c r="H219" t="s">
        <v>75</v>
      </c>
    </row>
    <row r="220" spans="1:8">
      <c r="A220" s="7">
        <v>45959.705120358798</v>
      </c>
      <c r="B220" s="8" t="s">
        <v>1</v>
      </c>
      <c r="C220" s="8" t="s">
        <v>69</v>
      </c>
      <c r="D220" s="8" t="s">
        <v>62</v>
      </c>
      <c r="E220" s="8" t="s">
        <v>76</v>
      </c>
      <c r="G220" s="8" t="s">
        <v>63</v>
      </c>
      <c r="H220" t="s">
        <v>75</v>
      </c>
    </row>
    <row r="221" spans="1:8">
      <c r="A221" s="7">
        <v>45960.627337627317</v>
      </c>
      <c r="B221" s="8" t="s">
        <v>0</v>
      </c>
      <c r="D221" s="8" t="s">
        <v>62</v>
      </c>
      <c r="E221" s="8" t="s">
        <v>76</v>
      </c>
      <c r="G221" s="8" t="s">
        <v>66</v>
      </c>
      <c r="H221" t="s">
        <v>75</v>
      </c>
    </row>
    <row r="222" spans="1:8">
      <c r="A222" s="7">
        <v>45960.627472141205</v>
      </c>
      <c r="B222" s="8" t="s">
        <v>0</v>
      </c>
      <c r="D222" s="8" t="s">
        <v>62</v>
      </c>
      <c r="E222" s="8" t="s">
        <v>76</v>
      </c>
      <c r="G222" s="8" t="s">
        <v>66</v>
      </c>
      <c r="H222" t="s">
        <v>75</v>
      </c>
    </row>
    <row r="223" spans="1:8">
      <c r="A223" s="7">
        <v>45960.627602337961</v>
      </c>
      <c r="B223" s="8" t="s">
        <v>0</v>
      </c>
      <c r="D223" s="8" t="s">
        <v>62</v>
      </c>
      <c r="E223" s="8" t="s">
        <v>76</v>
      </c>
      <c r="G223" s="8" t="s">
        <v>66</v>
      </c>
      <c r="H223" t="s">
        <v>75</v>
      </c>
    </row>
    <row r="224" spans="1:8">
      <c r="A224" s="7">
        <v>45960.627713819442</v>
      </c>
      <c r="B224" s="8" t="s">
        <v>0</v>
      </c>
      <c r="D224" s="8" t="s">
        <v>62</v>
      </c>
      <c r="E224" s="8" t="s">
        <v>76</v>
      </c>
      <c r="G224" s="8" t="s">
        <v>63</v>
      </c>
      <c r="H224" t="s">
        <v>75</v>
      </c>
    </row>
    <row r="225" spans="1:8">
      <c r="A225" s="7">
        <v>45960.627829062505</v>
      </c>
      <c r="B225" s="8" t="s">
        <v>0</v>
      </c>
      <c r="D225" s="8" t="s">
        <v>62</v>
      </c>
      <c r="E225" s="8" t="s">
        <v>76</v>
      </c>
      <c r="G225" s="8" t="s">
        <v>63</v>
      </c>
      <c r="H225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062A-9039-4236-8560-6D0ADD52DECC}">
  <dimension ref="A3:I104"/>
  <sheetViews>
    <sheetView zoomScale="80" zoomScaleNormal="80" workbookViewId="0">
      <selection activeCell="F19" sqref="F19"/>
    </sheetView>
  </sheetViews>
  <sheetFormatPr defaultRowHeight="14.4"/>
  <cols>
    <col min="1" max="1" width="33.44140625" bestFit="1" customWidth="1"/>
    <col min="2" max="4" width="8.77734375" bestFit="1" customWidth="1"/>
    <col min="5" max="6" width="10.44140625" bestFit="1" customWidth="1"/>
    <col min="7" max="7" width="8.77734375" bestFit="1" customWidth="1"/>
    <col min="8" max="8" width="11.5546875" bestFit="1" customWidth="1"/>
    <col min="9" max="9" width="10.44140625" bestFit="1" customWidth="1"/>
  </cols>
  <sheetData>
    <row r="3" spans="1:9">
      <c r="A3" s="11" t="s">
        <v>86</v>
      </c>
      <c r="B3" s="11" t="s">
        <v>84</v>
      </c>
      <c r="C3" s="11" t="s">
        <v>83</v>
      </c>
    </row>
    <row r="4" spans="1:9">
      <c r="B4" t="s">
        <v>15</v>
      </c>
      <c r="C4" t="s">
        <v>107</v>
      </c>
      <c r="D4" t="s">
        <v>61</v>
      </c>
      <c r="E4" t="s">
        <v>108</v>
      </c>
      <c r="F4" t="s">
        <v>77</v>
      </c>
      <c r="H4" t="s">
        <v>109</v>
      </c>
      <c r="I4" t="s">
        <v>78</v>
      </c>
    </row>
    <row r="5" spans="1:9">
      <c r="A5" s="11" t="s">
        <v>80</v>
      </c>
      <c r="B5" t="s">
        <v>14</v>
      </c>
      <c r="D5" t="s">
        <v>14</v>
      </c>
      <c r="F5" t="s">
        <v>76</v>
      </c>
      <c r="G5" t="s">
        <v>72</v>
      </c>
    </row>
    <row r="6" spans="1:9">
      <c r="A6" t="s">
        <v>0</v>
      </c>
      <c r="B6" s="20">
        <v>41</v>
      </c>
      <c r="C6" s="20">
        <v>41</v>
      </c>
      <c r="D6" s="20">
        <v>11</v>
      </c>
      <c r="E6" s="20">
        <v>11</v>
      </c>
      <c r="F6" s="20">
        <v>10</v>
      </c>
      <c r="G6" s="20">
        <v>8</v>
      </c>
      <c r="H6" s="20">
        <v>18</v>
      </c>
      <c r="I6" s="20">
        <v>70</v>
      </c>
    </row>
    <row r="7" spans="1:9">
      <c r="A7" t="s">
        <v>1</v>
      </c>
      <c r="B7" s="20">
        <v>50</v>
      </c>
      <c r="C7" s="20">
        <v>50</v>
      </c>
      <c r="D7" s="20">
        <v>28</v>
      </c>
      <c r="E7" s="20">
        <v>28</v>
      </c>
      <c r="F7" s="20">
        <v>45</v>
      </c>
      <c r="G7" s="20">
        <v>31</v>
      </c>
      <c r="H7" s="20">
        <v>76</v>
      </c>
      <c r="I7" s="20">
        <v>154</v>
      </c>
    </row>
    <row r="8" spans="1:9">
      <c r="A8" t="s">
        <v>78</v>
      </c>
      <c r="B8" s="20">
        <v>91</v>
      </c>
      <c r="C8" s="20">
        <v>91</v>
      </c>
      <c r="D8" s="20">
        <v>39</v>
      </c>
      <c r="E8" s="20">
        <v>39</v>
      </c>
      <c r="F8" s="20">
        <v>55</v>
      </c>
      <c r="G8" s="20">
        <v>39</v>
      </c>
      <c r="H8" s="20">
        <v>94</v>
      </c>
      <c r="I8" s="20">
        <v>224</v>
      </c>
    </row>
    <row r="10" spans="1:9">
      <c r="A10" s="11" t="s">
        <v>88</v>
      </c>
    </row>
    <row r="11" spans="1:9">
      <c r="A11" s="11" t="s">
        <v>81</v>
      </c>
      <c r="B11" t="s">
        <v>87</v>
      </c>
    </row>
    <row r="12" spans="1:9">
      <c r="A12" t="s">
        <v>67</v>
      </c>
      <c r="B12">
        <v>1</v>
      </c>
      <c r="C12">
        <v>1</v>
      </c>
    </row>
    <row r="13" spans="1:9">
      <c r="A13" t="s">
        <v>11</v>
      </c>
      <c r="B13">
        <v>9</v>
      </c>
      <c r="C13">
        <v>1</v>
      </c>
    </row>
    <row r="14" spans="1:9">
      <c r="A14" t="s">
        <v>6</v>
      </c>
      <c r="B14">
        <v>3</v>
      </c>
      <c r="C14">
        <v>2</v>
      </c>
    </row>
    <row r="15" spans="1:9">
      <c r="A15" t="s">
        <v>74</v>
      </c>
      <c r="B15">
        <v>1</v>
      </c>
      <c r="C15">
        <v>3</v>
      </c>
    </row>
    <row r="16" spans="1:9">
      <c r="A16" t="s">
        <v>9</v>
      </c>
      <c r="B16">
        <v>26</v>
      </c>
      <c r="C16">
        <v>1</v>
      </c>
    </row>
    <row r="17" spans="1:2">
      <c r="A17" t="s">
        <v>41</v>
      </c>
      <c r="B17">
        <v>1</v>
      </c>
    </row>
    <row r="18" spans="1:2">
      <c r="A18" t="s">
        <v>13</v>
      </c>
      <c r="B18">
        <v>7</v>
      </c>
    </row>
    <row r="19" spans="1:2">
      <c r="A19" t="s">
        <v>8</v>
      </c>
      <c r="B19">
        <v>30</v>
      </c>
    </row>
    <row r="20" spans="1:2">
      <c r="A20" t="s">
        <v>51</v>
      </c>
      <c r="B20">
        <v>2</v>
      </c>
    </row>
    <row r="21" spans="1:2">
      <c r="A21" t="s">
        <v>10</v>
      </c>
      <c r="B21">
        <v>9</v>
      </c>
    </row>
    <row r="22" spans="1:2">
      <c r="A22" t="s">
        <v>48</v>
      </c>
      <c r="B22">
        <v>2</v>
      </c>
    </row>
    <row r="23" spans="1:2">
      <c r="A23" t="s">
        <v>7</v>
      </c>
      <c r="B23">
        <v>1</v>
      </c>
    </row>
    <row r="24" spans="1:2">
      <c r="A24" t="s">
        <v>32</v>
      </c>
      <c r="B24">
        <v>10</v>
      </c>
    </row>
    <row r="25" spans="1:2">
      <c r="A25" t="s">
        <v>59</v>
      </c>
      <c r="B25">
        <v>1</v>
      </c>
    </row>
    <row r="26" spans="1:2">
      <c r="A26" t="s">
        <v>5</v>
      </c>
      <c r="B26">
        <v>1</v>
      </c>
    </row>
    <row r="27" spans="1:2">
      <c r="A27" t="s">
        <v>37</v>
      </c>
      <c r="B27">
        <v>5</v>
      </c>
    </row>
    <row r="28" spans="1:2">
      <c r="A28" t="s">
        <v>73</v>
      </c>
      <c r="B28">
        <v>6</v>
      </c>
    </row>
    <row r="29" spans="1:2">
      <c r="A29" t="s">
        <v>3</v>
      </c>
      <c r="B29">
        <v>8</v>
      </c>
    </row>
    <row r="30" spans="1:2">
      <c r="A30" t="s">
        <v>69</v>
      </c>
      <c r="B30">
        <v>8</v>
      </c>
    </row>
    <row r="31" spans="1:2">
      <c r="A31" t="s">
        <v>12</v>
      </c>
      <c r="B31">
        <v>5</v>
      </c>
    </row>
    <row r="32" spans="1:2">
      <c r="A32" t="s">
        <v>70</v>
      </c>
      <c r="B32">
        <v>1</v>
      </c>
    </row>
    <row r="33" spans="1:6">
      <c r="A33" t="s">
        <v>4</v>
      </c>
      <c r="B33">
        <v>6</v>
      </c>
    </row>
    <row r="34" spans="1:6">
      <c r="A34" t="s">
        <v>2</v>
      </c>
      <c r="B34">
        <v>11</v>
      </c>
    </row>
    <row r="35" spans="1:6">
      <c r="A35" t="s">
        <v>77</v>
      </c>
    </row>
    <row r="36" spans="1:6">
      <c r="A36" t="s">
        <v>78</v>
      </c>
      <c r="B36">
        <v>154</v>
      </c>
    </row>
    <row r="39" spans="1:6">
      <c r="A39" s="11" t="s">
        <v>89</v>
      </c>
      <c r="B39" s="11" t="s">
        <v>83</v>
      </c>
    </row>
    <row r="40" spans="1:6">
      <c r="A40" s="11" t="s">
        <v>82</v>
      </c>
      <c r="B40" t="s">
        <v>14</v>
      </c>
      <c r="C40" t="s">
        <v>76</v>
      </c>
      <c r="D40" t="s">
        <v>72</v>
      </c>
      <c r="E40" t="s">
        <v>77</v>
      </c>
      <c r="F40" t="s">
        <v>78</v>
      </c>
    </row>
    <row r="41" spans="1:6">
      <c r="A41" t="s">
        <v>62</v>
      </c>
      <c r="B41" s="20"/>
      <c r="C41" s="20">
        <v>50</v>
      </c>
      <c r="D41" s="20">
        <v>23</v>
      </c>
      <c r="E41" s="20"/>
      <c r="F41" s="20">
        <v>73</v>
      </c>
    </row>
    <row r="42" spans="1:6">
      <c r="A42" t="s">
        <v>65</v>
      </c>
      <c r="B42" s="20"/>
      <c r="C42" s="20"/>
      <c r="D42" s="20">
        <v>16</v>
      </c>
      <c r="E42" s="20"/>
      <c r="F42" s="20">
        <v>16</v>
      </c>
    </row>
    <row r="43" spans="1:6">
      <c r="A43" t="s">
        <v>77</v>
      </c>
      <c r="B43" s="20"/>
      <c r="C43" s="20"/>
      <c r="D43" s="20"/>
      <c r="E43" s="20"/>
      <c r="F43" s="20"/>
    </row>
    <row r="44" spans="1:6">
      <c r="A44" t="s">
        <v>15</v>
      </c>
      <c r="B44" s="20">
        <v>91</v>
      </c>
      <c r="C44" s="20"/>
      <c r="D44" s="20"/>
      <c r="E44" s="20"/>
      <c r="F44" s="20">
        <v>91</v>
      </c>
    </row>
    <row r="45" spans="1:6">
      <c r="A45" t="s">
        <v>61</v>
      </c>
      <c r="B45" s="20">
        <v>39</v>
      </c>
      <c r="C45" s="20"/>
      <c r="D45" s="20"/>
      <c r="E45" s="20"/>
      <c r="F45" s="20">
        <v>39</v>
      </c>
    </row>
    <row r="46" spans="1:6">
      <c r="A46" t="s">
        <v>78</v>
      </c>
      <c r="B46" s="20">
        <v>130</v>
      </c>
      <c r="C46" s="20">
        <v>50</v>
      </c>
      <c r="D46" s="20">
        <v>39</v>
      </c>
      <c r="E46" s="20"/>
      <c r="F46" s="20">
        <v>219</v>
      </c>
    </row>
    <row r="48" spans="1:6">
      <c r="A48" s="11" t="s">
        <v>90</v>
      </c>
    </row>
    <row r="49" spans="1:2">
      <c r="A49" s="11" t="s">
        <v>83</v>
      </c>
      <c r="B49" t="s">
        <v>87</v>
      </c>
    </row>
    <row r="50" spans="1:2">
      <c r="A50" t="s">
        <v>14</v>
      </c>
      <c r="B50">
        <v>130</v>
      </c>
    </row>
    <row r="51" spans="1:2">
      <c r="A51" t="s">
        <v>76</v>
      </c>
      <c r="B51">
        <v>55</v>
      </c>
    </row>
    <row r="52" spans="1:2">
      <c r="A52" t="s">
        <v>72</v>
      </c>
      <c r="B52">
        <v>39</v>
      </c>
    </row>
    <row r="53" spans="1:2">
      <c r="A53" t="s">
        <v>78</v>
      </c>
      <c r="B53">
        <v>224</v>
      </c>
    </row>
    <row r="55" spans="1:2">
      <c r="A55" s="11" t="s">
        <v>91</v>
      </c>
    </row>
    <row r="56" spans="1:2">
      <c r="A56" s="11" t="s">
        <v>85</v>
      </c>
      <c r="B56" t="s">
        <v>87</v>
      </c>
    </row>
    <row r="57" spans="1:2">
      <c r="A57" t="s">
        <v>64</v>
      </c>
      <c r="B57">
        <v>3</v>
      </c>
    </row>
    <row r="58" spans="1:2">
      <c r="A58" t="s">
        <v>63</v>
      </c>
      <c r="B58">
        <v>46</v>
      </c>
    </row>
    <row r="59" spans="1:2">
      <c r="A59" t="s">
        <v>66</v>
      </c>
      <c r="B59">
        <v>35</v>
      </c>
    </row>
    <row r="60" spans="1:2">
      <c r="A60" t="s">
        <v>68</v>
      </c>
      <c r="B60">
        <v>5</v>
      </c>
    </row>
    <row r="61" spans="1:2">
      <c r="A61" t="s">
        <v>77</v>
      </c>
    </row>
    <row r="62" spans="1:2">
      <c r="A62" t="s">
        <v>78</v>
      </c>
      <c r="B62">
        <v>89</v>
      </c>
    </row>
    <row r="65" spans="1:6">
      <c r="A65" s="11" t="s">
        <v>80</v>
      </c>
      <c r="B65" t="s">
        <v>1</v>
      </c>
    </row>
    <row r="67" spans="1:6">
      <c r="A67" s="11" t="s">
        <v>88</v>
      </c>
      <c r="B67" s="11" t="s">
        <v>82</v>
      </c>
    </row>
    <row r="68" spans="1:6">
      <c r="A68" s="11" t="s">
        <v>81</v>
      </c>
      <c r="B68" t="s">
        <v>15</v>
      </c>
      <c r="C68" t="s">
        <v>61</v>
      </c>
      <c r="D68" t="s">
        <v>62</v>
      </c>
      <c r="E68" t="s">
        <v>65</v>
      </c>
      <c r="F68" t="s">
        <v>78</v>
      </c>
    </row>
    <row r="69" spans="1:6">
      <c r="A69" t="s">
        <v>67</v>
      </c>
      <c r="E69">
        <v>1</v>
      </c>
      <c r="F69">
        <v>1</v>
      </c>
    </row>
    <row r="70" spans="1:6">
      <c r="A70" t="s">
        <v>11</v>
      </c>
      <c r="B70">
        <v>8</v>
      </c>
      <c r="C70">
        <v>1</v>
      </c>
      <c r="F70">
        <v>9</v>
      </c>
    </row>
    <row r="71" spans="1:6">
      <c r="A71" t="s">
        <v>6</v>
      </c>
      <c r="B71">
        <v>2</v>
      </c>
      <c r="D71">
        <v>1</v>
      </c>
      <c r="F71">
        <v>3</v>
      </c>
    </row>
    <row r="72" spans="1:6">
      <c r="A72" t="s">
        <v>74</v>
      </c>
      <c r="D72">
        <v>1</v>
      </c>
      <c r="F72">
        <v>1</v>
      </c>
    </row>
    <row r="73" spans="1:6">
      <c r="A73" s="5" t="s">
        <v>9</v>
      </c>
      <c r="B73">
        <v>10</v>
      </c>
      <c r="C73">
        <v>2</v>
      </c>
      <c r="D73" s="5">
        <v>10</v>
      </c>
      <c r="E73">
        <v>4</v>
      </c>
      <c r="F73">
        <v>26</v>
      </c>
    </row>
    <row r="74" spans="1:6">
      <c r="A74" t="s">
        <v>41</v>
      </c>
      <c r="C74">
        <v>1</v>
      </c>
      <c r="F74">
        <v>1</v>
      </c>
    </row>
    <row r="75" spans="1:6">
      <c r="A75" t="s">
        <v>13</v>
      </c>
      <c r="B75">
        <v>1</v>
      </c>
      <c r="D75">
        <v>6</v>
      </c>
      <c r="F75">
        <v>7</v>
      </c>
    </row>
    <row r="76" spans="1:6">
      <c r="A76" s="5" t="s">
        <v>8</v>
      </c>
      <c r="B76" s="5">
        <v>11</v>
      </c>
      <c r="C76" s="5">
        <v>9</v>
      </c>
      <c r="D76">
        <v>8</v>
      </c>
      <c r="E76">
        <v>2</v>
      </c>
      <c r="F76">
        <v>30</v>
      </c>
    </row>
    <row r="77" spans="1:6">
      <c r="A77" t="s">
        <v>51</v>
      </c>
      <c r="C77">
        <v>2</v>
      </c>
      <c r="F77">
        <v>2</v>
      </c>
    </row>
    <row r="78" spans="1:6">
      <c r="A78" t="s">
        <v>10</v>
      </c>
      <c r="B78">
        <v>2</v>
      </c>
      <c r="D78">
        <v>5</v>
      </c>
      <c r="E78">
        <v>2</v>
      </c>
      <c r="F78">
        <v>9</v>
      </c>
    </row>
    <row r="79" spans="1:6">
      <c r="A79" t="s">
        <v>48</v>
      </c>
      <c r="C79">
        <v>2</v>
      </c>
      <c r="F79">
        <v>2</v>
      </c>
    </row>
    <row r="80" spans="1:6">
      <c r="A80" t="s">
        <v>7</v>
      </c>
      <c r="B80">
        <v>1</v>
      </c>
      <c r="F80">
        <v>1</v>
      </c>
    </row>
    <row r="81" spans="1:6">
      <c r="A81" t="s">
        <v>32</v>
      </c>
      <c r="C81">
        <v>3</v>
      </c>
      <c r="D81">
        <v>5</v>
      </c>
      <c r="E81">
        <v>2</v>
      </c>
      <c r="F81">
        <v>10</v>
      </c>
    </row>
    <row r="82" spans="1:6">
      <c r="A82" t="s">
        <v>59</v>
      </c>
      <c r="C82">
        <v>1</v>
      </c>
      <c r="F82">
        <v>1</v>
      </c>
    </row>
    <row r="83" spans="1:6">
      <c r="A83" t="s">
        <v>5</v>
      </c>
      <c r="B83">
        <v>1</v>
      </c>
      <c r="F83">
        <v>1</v>
      </c>
    </row>
    <row r="84" spans="1:6">
      <c r="A84" t="s">
        <v>37</v>
      </c>
      <c r="C84">
        <v>1</v>
      </c>
      <c r="D84">
        <v>4</v>
      </c>
      <c r="F84">
        <v>5</v>
      </c>
    </row>
    <row r="85" spans="1:6">
      <c r="A85" t="s">
        <v>73</v>
      </c>
      <c r="D85">
        <v>6</v>
      </c>
      <c r="F85">
        <v>6</v>
      </c>
    </row>
    <row r="86" spans="1:6">
      <c r="A86" t="s">
        <v>3</v>
      </c>
      <c r="B86">
        <v>2</v>
      </c>
      <c r="C86">
        <v>4</v>
      </c>
      <c r="D86">
        <v>2</v>
      </c>
      <c r="F86">
        <v>8</v>
      </c>
    </row>
    <row r="87" spans="1:6">
      <c r="A87" t="s">
        <v>69</v>
      </c>
      <c r="D87">
        <v>8</v>
      </c>
      <c r="F87">
        <v>8</v>
      </c>
    </row>
    <row r="88" spans="1:6">
      <c r="A88" t="s">
        <v>12</v>
      </c>
      <c r="B88">
        <v>1</v>
      </c>
      <c r="D88">
        <v>4</v>
      </c>
      <c r="F88">
        <v>5</v>
      </c>
    </row>
    <row r="89" spans="1:6">
      <c r="A89" t="s">
        <v>70</v>
      </c>
      <c r="E89">
        <v>1</v>
      </c>
      <c r="F89">
        <v>1</v>
      </c>
    </row>
    <row r="90" spans="1:6">
      <c r="A90" t="s">
        <v>4</v>
      </c>
      <c r="B90">
        <v>3</v>
      </c>
      <c r="D90">
        <v>3</v>
      </c>
      <c r="F90">
        <v>6</v>
      </c>
    </row>
    <row r="91" spans="1:6">
      <c r="A91" t="s">
        <v>2</v>
      </c>
      <c r="B91">
        <v>8</v>
      </c>
      <c r="C91">
        <v>2</v>
      </c>
      <c r="D91">
        <v>1</v>
      </c>
      <c r="F91">
        <v>11</v>
      </c>
    </row>
    <row r="92" spans="1:6">
      <c r="A92" t="s">
        <v>78</v>
      </c>
      <c r="B92">
        <v>50</v>
      </c>
      <c r="C92">
        <v>28</v>
      </c>
      <c r="D92">
        <v>64</v>
      </c>
      <c r="E92">
        <v>12</v>
      </c>
      <c r="F92">
        <v>154</v>
      </c>
    </row>
    <row r="96" spans="1:6">
      <c r="A96" s="11" t="s">
        <v>80</v>
      </c>
      <c r="B96" t="s">
        <v>1</v>
      </c>
    </row>
    <row r="98" spans="1:5">
      <c r="A98" s="11" t="s">
        <v>89</v>
      </c>
      <c r="B98" s="11" t="s">
        <v>83</v>
      </c>
    </row>
    <row r="99" spans="1:5">
      <c r="A99" s="11" t="s">
        <v>82</v>
      </c>
      <c r="B99" t="s">
        <v>14</v>
      </c>
      <c r="C99" t="s">
        <v>76</v>
      </c>
      <c r="D99" t="s">
        <v>72</v>
      </c>
      <c r="E99" t="s">
        <v>78</v>
      </c>
    </row>
    <row r="100" spans="1:5">
      <c r="A100" t="s">
        <v>62</v>
      </c>
      <c r="B100" s="20"/>
      <c r="C100" s="20">
        <v>45</v>
      </c>
      <c r="D100" s="20">
        <v>19</v>
      </c>
      <c r="E100" s="20">
        <v>64</v>
      </c>
    </row>
    <row r="101" spans="1:5">
      <c r="A101" t="s">
        <v>65</v>
      </c>
      <c r="B101" s="20"/>
      <c r="C101" s="20"/>
      <c r="D101" s="20">
        <v>12</v>
      </c>
      <c r="E101" s="20">
        <v>12</v>
      </c>
    </row>
    <row r="102" spans="1:5">
      <c r="A102" t="s">
        <v>15</v>
      </c>
      <c r="B102" s="20">
        <v>50</v>
      </c>
      <c r="C102" s="20"/>
      <c r="D102" s="20"/>
      <c r="E102" s="20">
        <v>50</v>
      </c>
    </row>
    <row r="103" spans="1:5">
      <c r="A103" t="s">
        <v>61</v>
      </c>
      <c r="B103" s="20">
        <v>28</v>
      </c>
      <c r="C103" s="20"/>
      <c r="D103" s="20"/>
      <c r="E103" s="20">
        <v>28</v>
      </c>
    </row>
    <row r="104" spans="1:5">
      <c r="A104" t="s">
        <v>78</v>
      </c>
      <c r="B104" s="20">
        <v>78</v>
      </c>
      <c r="C104" s="20">
        <v>45</v>
      </c>
      <c r="D104" s="20">
        <v>31</v>
      </c>
      <c r="E104" s="20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0DAB-78EF-41F6-8CCB-DFC1F0ACF839}">
  <dimension ref="A1:AM155"/>
  <sheetViews>
    <sheetView showGridLines="0" tabSelected="1" zoomScale="70" zoomScaleNormal="70" workbookViewId="0">
      <selection activeCell="F166" sqref="F166"/>
    </sheetView>
  </sheetViews>
  <sheetFormatPr defaultRowHeight="14.4"/>
  <cols>
    <col min="2" max="2" width="11.77734375" customWidth="1"/>
    <col min="4" max="4" width="10.44140625" bestFit="1" customWidth="1"/>
    <col min="5" max="5" width="11.109375" bestFit="1" customWidth="1"/>
  </cols>
  <sheetData>
    <row r="1" spans="1:39" ht="41.4" customHeight="1">
      <c r="A1" s="37" t="s">
        <v>101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</row>
    <row r="3" spans="1:39">
      <c r="B3" s="22" t="s">
        <v>101</v>
      </c>
      <c r="C3" s="47" t="s">
        <v>110</v>
      </c>
      <c r="D3" s="48"/>
      <c r="E3" s="47" t="s">
        <v>111</v>
      </c>
      <c r="F3" s="48"/>
      <c r="G3" s="24" t="s">
        <v>122</v>
      </c>
      <c r="H3" s="24"/>
      <c r="I3" s="47" t="s">
        <v>113</v>
      </c>
      <c r="J3" s="48"/>
      <c r="K3" s="24" t="s">
        <v>112</v>
      </c>
      <c r="L3" s="24"/>
      <c r="M3" s="47" t="s">
        <v>72</v>
      </c>
      <c r="N3" s="48"/>
      <c r="O3" s="24" t="s">
        <v>87</v>
      </c>
      <c r="P3" s="24"/>
      <c r="R3" t="s">
        <v>115</v>
      </c>
      <c r="X3" t="s">
        <v>114</v>
      </c>
    </row>
    <row r="4" spans="1:39">
      <c r="B4" s="23"/>
      <c r="C4" s="49" t="s">
        <v>105</v>
      </c>
      <c r="D4" s="50" t="s">
        <v>106</v>
      </c>
      <c r="E4" s="49" t="s">
        <v>105</v>
      </c>
      <c r="F4" s="50" t="s">
        <v>106</v>
      </c>
      <c r="G4" s="27" t="s">
        <v>105</v>
      </c>
      <c r="H4" s="27" t="s">
        <v>106</v>
      </c>
      <c r="I4" s="49" t="s">
        <v>105</v>
      </c>
      <c r="J4" s="50" t="s">
        <v>106</v>
      </c>
      <c r="K4" s="27" t="s">
        <v>105</v>
      </c>
      <c r="L4" s="27" t="s">
        <v>106</v>
      </c>
      <c r="M4" s="49" t="s">
        <v>105</v>
      </c>
      <c r="N4" s="50" t="s">
        <v>106</v>
      </c>
      <c r="O4" s="27" t="s">
        <v>105</v>
      </c>
      <c r="P4" s="27" t="s">
        <v>106</v>
      </c>
    </row>
    <row r="5" spans="1:39">
      <c r="B5" t="s">
        <v>102</v>
      </c>
      <c r="C5" s="51">
        <v>41</v>
      </c>
      <c r="D5" s="52">
        <f>C5/C$7*100</f>
        <v>45.054945054945058</v>
      </c>
      <c r="E5" s="51">
        <v>11</v>
      </c>
      <c r="F5" s="52">
        <f>E5/E$7*100</f>
        <v>28.205128205128204</v>
      </c>
      <c r="G5" s="34">
        <v>125</v>
      </c>
      <c r="H5" s="41">
        <f>G5/G$7*100</f>
        <v>52.742616033755276</v>
      </c>
      <c r="I5" s="55">
        <v>47</v>
      </c>
      <c r="J5" s="52">
        <f>I5/I$7*100</f>
        <v>41.592920353982301</v>
      </c>
      <c r="K5">
        <v>10</v>
      </c>
      <c r="L5" s="41">
        <f>K5/K$7*100</f>
        <v>18.181818181818183</v>
      </c>
      <c r="M5" s="51">
        <v>8</v>
      </c>
      <c r="N5" s="52">
        <f>M5/M$7*100</f>
        <v>20.512820512820511</v>
      </c>
      <c r="O5" s="19">
        <f>C5+E5+G5+I5+K5+M5</f>
        <v>242</v>
      </c>
      <c r="P5" s="30">
        <f>O5/O$7</f>
        <v>0.42160278745644597</v>
      </c>
    </row>
    <row r="6" spans="1:39">
      <c r="B6" t="s">
        <v>103</v>
      </c>
      <c r="C6" s="51">
        <v>50</v>
      </c>
      <c r="D6" s="52">
        <f>C6/C$7*100</f>
        <v>54.945054945054949</v>
      </c>
      <c r="E6" s="51">
        <v>28</v>
      </c>
      <c r="F6" s="52">
        <f>E6/E$7*100</f>
        <v>71.794871794871796</v>
      </c>
      <c r="G6" s="34">
        <v>112</v>
      </c>
      <c r="H6" s="41">
        <f>G6/G$7*100</f>
        <v>47.257383966244724</v>
      </c>
      <c r="I6" s="55">
        <v>66</v>
      </c>
      <c r="J6" s="52">
        <f>I6/I$7*100</f>
        <v>58.407079646017699</v>
      </c>
      <c r="K6">
        <v>45</v>
      </c>
      <c r="L6" s="41">
        <f>K6/K$7*100</f>
        <v>81.818181818181827</v>
      </c>
      <c r="M6" s="51">
        <v>31</v>
      </c>
      <c r="N6" s="52">
        <f>M6/M$7*100</f>
        <v>79.487179487179489</v>
      </c>
      <c r="O6" s="19">
        <f>C6+E6+G6+I6+K6+M6</f>
        <v>332</v>
      </c>
      <c r="P6" s="30">
        <f>O6/O$7</f>
        <v>0.57839721254355403</v>
      </c>
    </row>
    <row r="7" spans="1:39">
      <c r="B7" s="21" t="s">
        <v>87</v>
      </c>
      <c r="C7" s="53">
        <v>91</v>
      </c>
      <c r="D7" s="54">
        <f>SUM(D5:D6)</f>
        <v>100</v>
      </c>
      <c r="E7" s="53">
        <v>39</v>
      </c>
      <c r="F7" s="54">
        <f>SUM(F5:F6)</f>
        <v>100</v>
      </c>
      <c r="G7" s="35">
        <f>SUM(G5:G6)</f>
        <v>237</v>
      </c>
      <c r="H7" s="42">
        <f>SUM(H5:H6)</f>
        <v>100</v>
      </c>
      <c r="I7" s="56">
        <f>SUM(I5:I6)</f>
        <v>113</v>
      </c>
      <c r="J7" s="54">
        <f>SUM(J5:J6)</f>
        <v>100</v>
      </c>
      <c r="K7" s="21">
        <v>55</v>
      </c>
      <c r="L7" s="42">
        <f>SUM(L5:L6)</f>
        <v>100.00000000000001</v>
      </c>
      <c r="M7" s="53">
        <v>39</v>
      </c>
      <c r="N7" s="54">
        <f>SUM(N5:N6)</f>
        <v>100</v>
      </c>
      <c r="O7" s="33">
        <f>SUM(O5:O6)</f>
        <v>574</v>
      </c>
      <c r="P7" s="31">
        <f>SUM(P5:P6)</f>
        <v>1</v>
      </c>
    </row>
    <row r="8" spans="1:39">
      <c r="P8" s="29"/>
    </row>
    <row r="9" spans="1:39">
      <c r="B9" s="22" t="s">
        <v>101</v>
      </c>
      <c r="C9" s="28" t="s">
        <v>121</v>
      </c>
      <c r="D9" s="28" t="s">
        <v>111</v>
      </c>
      <c r="E9" s="28" t="s">
        <v>122</v>
      </c>
      <c r="F9" s="28" t="s">
        <v>113</v>
      </c>
      <c r="G9" s="28" t="s">
        <v>123</v>
      </c>
      <c r="H9" s="28" t="s">
        <v>72</v>
      </c>
      <c r="I9" s="28" t="s">
        <v>87</v>
      </c>
      <c r="K9">
        <v>100</v>
      </c>
    </row>
    <row r="10" spans="1:39">
      <c r="B10" s="23"/>
      <c r="C10" s="27" t="s">
        <v>106</v>
      </c>
      <c r="D10" s="27" t="s">
        <v>106</v>
      </c>
      <c r="E10" s="27" t="s">
        <v>106</v>
      </c>
      <c r="F10" s="27" t="s">
        <v>106</v>
      </c>
      <c r="G10" s="27" t="s">
        <v>106</v>
      </c>
      <c r="H10" s="27" t="s">
        <v>106</v>
      </c>
      <c r="I10" s="27" t="s">
        <v>106</v>
      </c>
    </row>
    <row r="11" spans="1:39">
      <c r="B11" t="s">
        <v>102</v>
      </c>
      <c r="C11" s="38">
        <f>D5</f>
        <v>45.054945054945058</v>
      </c>
      <c r="D11" s="38">
        <f>F5</f>
        <v>28.205128205128204</v>
      </c>
      <c r="E11" s="38">
        <f>H5</f>
        <v>52.742616033755276</v>
      </c>
      <c r="F11" s="38">
        <f>J5</f>
        <v>41.592920353982301</v>
      </c>
      <c r="G11" s="38">
        <f>L5</f>
        <v>18.181818181818183</v>
      </c>
      <c r="H11" s="38">
        <f>N5</f>
        <v>20.512820512820511</v>
      </c>
      <c r="I11" s="39">
        <f>P5</f>
        <v>0.42160278745644597</v>
      </c>
    </row>
    <row r="12" spans="1:39">
      <c r="B12" t="s">
        <v>103</v>
      </c>
      <c r="C12" s="38">
        <f>D6</f>
        <v>54.945054945054949</v>
      </c>
      <c r="D12" s="38">
        <f>F6</f>
        <v>71.794871794871796</v>
      </c>
      <c r="E12" s="38">
        <f>H6</f>
        <v>47.257383966244724</v>
      </c>
      <c r="F12" s="38">
        <f>J6</f>
        <v>58.407079646017699</v>
      </c>
      <c r="G12" s="38">
        <f>L6</f>
        <v>81.818181818181827</v>
      </c>
      <c r="H12" s="38">
        <f>N6</f>
        <v>79.487179487179489</v>
      </c>
      <c r="I12" s="39">
        <f>P6</f>
        <v>0.57839721254355403</v>
      </c>
      <c r="L12" s="19">
        <f>112/237*100</f>
        <v>47.257383966244724</v>
      </c>
      <c r="M12">
        <v>112</v>
      </c>
    </row>
    <row r="13" spans="1:39">
      <c r="B13" s="21" t="s">
        <v>87</v>
      </c>
      <c r="C13" s="40">
        <f>SUM(C11:C12)</f>
        <v>100</v>
      </c>
      <c r="D13" s="40">
        <f t="shared" ref="D13:I13" si="0">SUM(D11:D12)</f>
        <v>100</v>
      </c>
      <c r="E13" s="40">
        <f t="shared" si="0"/>
        <v>100</v>
      </c>
      <c r="F13" s="40">
        <f t="shared" si="0"/>
        <v>100</v>
      </c>
      <c r="G13" s="40">
        <f t="shared" si="0"/>
        <v>100.00000000000001</v>
      </c>
      <c r="H13" s="40">
        <f t="shared" si="0"/>
        <v>100</v>
      </c>
      <c r="I13" s="40">
        <f t="shared" si="0"/>
        <v>1</v>
      </c>
      <c r="M13">
        <v>66</v>
      </c>
    </row>
    <row r="14" spans="1:39">
      <c r="M14">
        <f>SUM(M12:M13)</f>
        <v>178</v>
      </c>
    </row>
    <row r="44" spans="1:39" ht="41.4" customHeight="1">
      <c r="A44" s="37" t="s">
        <v>116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</row>
    <row r="45" spans="1:39">
      <c r="B45" s="21" t="s">
        <v>116</v>
      </c>
      <c r="C45" s="43" t="s">
        <v>105</v>
      </c>
      <c r="D45" s="43" t="s">
        <v>106</v>
      </c>
    </row>
    <row r="46" spans="1:39">
      <c r="B46" t="s">
        <v>72</v>
      </c>
      <c r="C46" s="44">
        <v>39</v>
      </c>
      <c r="D46" s="45">
        <f>C46/$C$51*100</f>
        <v>6.7944250871080136</v>
      </c>
    </row>
    <row r="47" spans="1:39">
      <c r="B47" t="s">
        <v>76</v>
      </c>
      <c r="C47" s="44">
        <v>55</v>
      </c>
      <c r="D47" s="45">
        <f>C47/$C$51*100</f>
        <v>9.5818815331010452</v>
      </c>
    </row>
    <row r="48" spans="1:39">
      <c r="B48" t="s">
        <v>14</v>
      </c>
      <c r="C48" s="44">
        <v>130</v>
      </c>
      <c r="D48" s="45">
        <f>C48/$C$51*100</f>
        <v>22.648083623693381</v>
      </c>
    </row>
    <row r="49" spans="2:4">
      <c r="B49" t="s">
        <v>104</v>
      </c>
      <c r="C49" s="44">
        <f>113+237</f>
        <v>350</v>
      </c>
      <c r="D49" s="45">
        <f>C49/$C$51*100</f>
        <v>60.975609756097562</v>
      </c>
    </row>
    <row r="51" spans="2:4">
      <c r="B51" s="21" t="s">
        <v>78</v>
      </c>
      <c r="C51" s="43">
        <f>SUM(C46:C49)</f>
        <v>574</v>
      </c>
      <c r="D51" s="46">
        <f>SUM(D46:D49)</f>
        <v>100</v>
      </c>
    </row>
    <row r="72" spans="1:39" ht="41.4" customHeight="1">
      <c r="A72" s="37" t="s">
        <v>117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</row>
    <row r="75" spans="1:39">
      <c r="B75" s="21" t="s">
        <v>120</v>
      </c>
      <c r="C75" s="21" t="s">
        <v>14</v>
      </c>
      <c r="D75" s="21" t="s">
        <v>104</v>
      </c>
      <c r="E75" s="21" t="s">
        <v>112</v>
      </c>
      <c r="F75" s="21" t="s">
        <v>72</v>
      </c>
      <c r="G75" s="21" t="s">
        <v>87</v>
      </c>
    </row>
    <row r="76" spans="1:39">
      <c r="B76" t="s">
        <v>62</v>
      </c>
      <c r="F76">
        <v>23</v>
      </c>
      <c r="G76">
        <f>SUM(C76:F76)</f>
        <v>23</v>
      </c>
    </row>
    <row r="77" spans="1:39">
      <c r="B77" t="s">
        <v>65</v>
      </c>
      <c r="F77">
        <v>16</v>
      </c>
      <c r="G77">
        <f t="shared" ref="G77:G79" si="1">SUM(C77:F77)</f>
        <v>16</v>
      </c>
    </row>
    <row r="78" spans="1:39">
      <c r="B78" t="s">
        <v>118</v>
      </c>
      <c r="C78">
        <v>91</v>
      </c>
      <c r="D78">
        <v>237</v>
      </c>
      <c r="E78">
        <v>55</v>
      </c>
      <c r="G78">
        <f t="shared" si="1"/>
        <v>383</v>
      </c>
    </row>
    <row r="79" spans="1:39">
      <c r="B79" t="s">
        <v>119</v>
      </c>
      <c r="C79">
        <v>39</v>
      </c>
      <c r="D79">
        <v>113</v>
      </c>
      <c r="G79">
        <f t="shared" si="1"/>
        <v>152</v>
      </c>
    </row>
    <row r="80" spans="1:39">
      <c r="B80" s="21" t="s">
        <v>87</v>
      </c>
      <c r="C80" s="21">
        <f>SUM(C76:C79)</f>
        <v>130</v>
      </c>
      <c r="D80" s="21">
        <f t="shared" ref="D80:G80" si="2">SUM(D76:D79)</f>
        <v>350</v>
      </c>
      <c r="E80" s="21">
        <f t="shared" si="2"/>
        <v>55</v>
      </c>
      <c r="F80" s="21">
        <f t="shared" si="2"/>
        <v>39</v>
      </c>
      <c r="G80" s="21">
        <f t="shared" si="2"/>
        <v>574</v>
      </c>
    </row>
    <row r="82" spans="1:39">
      <c r="B82" s="21" t="s">
        <v>120</v>
      </c>
      <c r="C82" s="21" t="s">
        <v>14</v>
      </c>
      <c r="D82" s="21" t="s">
        <v>104</v>
      </c>
      <c r="E82" s="21" t="s">
        <v>112</v>
      </c>
      <c r="F82" s="21" t="s">
        <v>72</v>
      </c>
      <c r="G82" s="21" t="s">
        <v>87</v>
      </c>
    </row>
    <row r="83" spans="1:39">
      <c r="B83" t="s">
        <v>118</v>
      </c>
      <c r="C83">
        <v>91</v>
      </c>
      <c r="D83">
        <v>237</v>
      </c>
      <c r="E83">
        <v>55</v>
      </c>
      <c r="G83">
        <f t="shared" ref="G83:G84" si="3">SUM(C83:F83)</f>
        <v>383</v>
      </c>
    </row>
    <row r="84" spans="1:39">
      <c r="B84" t="s">
        <v>119</v>
      </c>
      <c r="C84">
        <v>39</v>
      </c>
      <c r="D84">
        <v>113</v>
      </c>
      <c r="F84">
        <v>39</v>
      </c>
      <c r="G84">
        <f t="shared" si="3"/>
        <v>191</v>
      </c>
    </row>
    <row r="85" spans="1:39">
      <c r="B85" s="21" t="s">
        <v>87</v>
      </c>
      <c r="C85" s="21">
        <f>SUM(C83:C84)</f>
        <v>130</v>
      </c>
      <c r="D85" s="21">
        <f>SUM(D83:D84)</f>
        <v>350</v>
      </c>
      <c r="E85" s="21">
        <f>SUM(E83:E84)</f>
        <v>55</v>
      </c>
      <c r="F85" s="21">
        <f>SUM(F83:F84)</f>
        <v>39</v>
      </c>
      <c r="G85" s="21">
        <f>SUM(G83:G84)</f>
        <v>574</v>
      </c>
    </row>
    <row r="87" spans="1:39">
      <c r="B87" s="21" t="s">
        <v>120</v>
      </c>
      <c r="C87" s="21" t="s">
        <v>14</v>
      </c>
      <c r="D87" s="21" t="s">
        <v>104</v>
      </c>
      <c r="E87" s="21" t="s">
        <v>76</v>
      </c>
      <c r="F87" s="21" t="s">
        <v>72</v>
      </c>
      <c r="G87" s="21" t="s">
        <v>87</v>
      </c>
    </row>
    <row r="88" spans="1:39">
      <c r="B88" t="s">
        <v>118</v>
      </c>
      <c r="C88" s="32">
        <f>C83/$C$85*100</f>
        <v>70</v>
      </c>
      <c r="D88" s="32">
        <f>D83/$D$85*100</f>
        <v>67.714285714285722</v>
      </c>
      <c r="E88" s="32">
        <f>E83/$E$85*100</f>
        <v>100</v>
      </c>
      <c r="F88" s="32">
        <f>F83/$F$85*100</f>
        <v>0</v>
      </c>
      <c r="G88" s="30">
        <f>G83/$G$85</f>
        <v>0.66724738675958184</v>
      </c>
    </row>
    <row r="89" spans="1:39">
      <c r="B89" t="s">
        <v>124</v>
      </c>
      <c r="C89" s="32">
        <f>C84/$C$85*100</f>
        <v>30</v>
      </c>
      <c r="D89" s="32">
        <f>D84/$D$85*100</f>
        <v>32.285714285714285</v>
      </c>
      <c r="E89" s="32">
        <f>E84/$E$85*100</f>
        <v>0</v>
      </c>
      <c r="F89" s="32">
        <f>F84/$F$85*100</f>
        <v>100</v>
      </c>
      <c r="G89" s="30">
        <f>G84/$G$85</f>
        <v>0.3327526132404181</v>
      </c>
    </row>
    <row r="90" spans="1:39">
      <c r="B90" s="21" t="s">
        <v>87</v>
      </c>
      <c r="C90" s="21">
        <f>SUM(C88:C89)</f>
        <v>100</v>
      </c>
      <c r="D90" s="21">
        <f>SUM(D88:D89)</f>
        <v>100</v>
      </c>
      <c r="E90" s="21">
        <f>SUM(E88:E89)</f>
        <v>100</v>
      </c>
      <c r="F90" s="21">
        <f>SUM(F88:F89)</f>
        <v>100</v>
      </c>
      <c r="G90" s="26">
        <f>SUM(G88:G89)</f>
        <v>1</v>
      </c>
    </row>
    <row r="96" spans="1:39" ht="41.4" customHeight="1">
      <c r="A96" s="37" t="s">
        <v>101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</row>
    <row r="98" spans="2:8">
      <c r="B98" s="22" t="s">
        <v>101</v>
      </c>
      <c r="C98" s="28" t="s">
        <v>87</v>
      </c>
      <c r="D98" s="28"/>
    </row>
    <row r="99" spans="2:8">
      <c r="B99" s="23"/>
      <c r="C99" s="27" t="s">
        <v>105</v>
      </c>
      <c r="D99" s="27" t="s">
        <v>106</v>
      </c>
    </row>
    <row r="100" spans="2:8">
      <c r="B100" t="s">
        <v>102</v>
      </c>
      <c r="C100" s="19">
        <v>242</v>
      </c>
      <c r="D100" s="30">
        <v>0.42160278745644597</v>
      </c>
      <c r="H100">
        <f>125+47</f>
        <v>172</v>
      </c>
    </row>
    <row r="101" spans="2:8">
      <c r="B101" t="s">
        <v>103</v>
      </c>
      <c r="C101" s="19">
        <v>332</v>
      </c>
      <c r="D101" s="30">
        <v>0.57839721254355403</v>
      </c>
    </row>
    <row r="102" spans="2:8">
      <c r="B102" s="21" t="s">
        <v>87</v>
      </c>
      <c r="C102" s="33">
        <f>SUM(C100:C101)</f>
        <v>574</v>
      </c>
      <c r="D102" s="31">
        <v>1</v>
      </c>
    </row>
    <row r="121" spans="1:39" ht="41.4" customHeight="1">
      <c r="A121" s="37" t="s">
        <v>128</v>
      </c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</row>
    <row r="125" spans="1:39">
      <c r="B125" s="97" t="s">
        <v>127</v>
      </c>
      <c r="C125" s="101" t="s">
        <v>121</v>
      </c>
      <c r="D125" s="97" t="s">
        <v>111</v>
      </c>
      <c r="E125" s="101" t="s">
        <v>122</v>
      </c>
      <c r="F125" s="97" t="s">
        <v>113</v>
      </c>
      <c r="G125" s="101" t="s">
        <v>123</v>
      </c>
      <c r="H125" s="97" t="s">
        <v>72</v>
      </c>
      <c r="I125" s="101" t="s">
        <v>87</v>
      </c>
      <c r="J125" s="107" t="s">
        <v>106</v>
      </c>
    </row>
    <row r="126" spans="1:39">
      <c r="B126" s="98"/>
      <c r="C126" s="102"/>
      <c r="D126" s="98"/>
      <c r="E126" s="102"/>
      <c r="F126" s="98"/>
      <c r="G126" s="102"/>
      <c r="H126" s="98"/>
      <c r="I126" s="102"/>
      <c r="J126" s="108"/>
    </row>
    <row r="127" spans="1:39" s="87" customFormat="1" ht="32.4" customHeight="1">
      <c r="B127" s="91" t="s">
        <v>100</v>
      </c>
      <c r="C127" s="103">
        <v>2</v>
      </c>
      <c r="D127" s="93">
        <v>5</v>
      </c>
      <c r="E127" s="103">
        <v>7</v>
      </c>
      <c r="F127" s="92">
        <v>6</v>
      </c>
      <c r="G127" s="106">
        <v>15</v>
      </c>
      <c r="H127" s="93">
        <v>7</v>
      </c>
      <c r="I127" s="104">
        <f>SUM(C127:H127)</f>
        <v>42</v>
      </c>
      <c r="J127" s="95">
        <f>I127/$I$133%</f>
        <v>6.1764705882352944</v>
      </c>
    </row>
    <row r="128" spans="1:39" s="87" customFormat="1" ht="32.4" customHeight="1">
      <c r="B128" s="118" t="s">
        <v>67</v>
      </c>
      <c r="C128" s="90">
        <v>5</v>
      </c>
      <c r="D128" s="121">
        <v>6</v>
      </c>
      <c r="E128" s="90">
        <v>22</v>
      </c>
      <c r="F128" s="100">
        <v>13</v>
      </c>
      <c r="G128" s="89">
        <v>22</v>
      </c>
      <c r="H128" s="121">
        <v>7</v>
      </c>
      <c r="I128" s="90">
        <f>SUM(C128:H128)</f>
        <v>75</v>
      </c>
      <c r="J128" s="109">
        <f t="shared" ref="J128:J131" si="4">I128/$I$133%</f>
        <v>11.029411764705882</v>
      </c>
    </row>
    <row r="129" spans="1:39" s="87" customFormat="1" ht="32.4" customHeight="1">
      <c r="B129" s="91" t="s">
        <v>2</v>
      </c>
      <c r="C129" s="104">
        <v>17</v>
      </c>
      <c r="D129" s="93">
        <v>9</v>
      </c>
      <c r="E129" s="104">
        <v>33</v>
      </c>
      <c r="F129" s="94">
        <v>23</v>
      </c>
      <c r="G129" s="106">
        <v>22</v>
      </c>
      <c r="H129" s="93">
        <v>5</v>
      </c>
      <c r="I129" s="104">
        <f>SUM(C129:H129)</f>
        <v>109</v>
      </c>
      <c r="J129" s="95">
        <f t="shared" si="4"/>
        <v>16.029411764705884</v>
      </c>
    </row>
    <row r="130" spans="1:39" s="87" customFormat="1" ht="32.4" customHeight="1">
      <c r="B130" s="118" t="s">
        <v>11</v>
      </c>
      <c r="C130" s="88">
        <v>27</v>
      </c>
      <c r="D130" s="121">
        <v>23</v>
      </c>
      <c r="E130" s="88">
        <v>53</v>
      </c>
      <c r="F130" s="122">
        <v>32</v>
      </c>
      <c r="G130" s="89">
        <v>31</v>
      </c>
      <c r="H130" s="121">
        <v>16</v>
      </c>
      <c r="I130" s="90">
        <f>SUM(C130:H130)</f>
        <v>182</v>
      </c>
      <c r="J130" s="109">
        <f t="shared" si="4"/>
        <v>26.764705882352942</v>
      </c>
      <c r="AC130" s="87">
        <f>332/680</f>
        <v>0.48823529411764705</v>
      </c>
      <c r="AE130" s="87">
        <f>332*3</f>
        <v>996</v>
      </c>
    </row>
    <row r="131" spans="1:39" s="87" customFormat="1" ht="32.4" customHeight="1">
      <c r="B131" s="91" t="s">
        <v>9</v>
      </c>
      <c r="C131" s="103">
        <v>32</v>
      </c>
      <c r="D131" s="93">
        <v>25</v>
      </c>
      <c r="E131" s="103">
        <v>90</v>
      </c>
      <c r="F131" s="92">
        <v>53</v>
      </c>
      <c r="G131" s="106">
        <v>42</v>
      </c>
      <c r="H131" s="93">
        <v>30</v>
      </c>
      <c r="I131" s="104">
        <f>SUM(C131:H131)</f>
        <v>272</v>
      </c>
      <c r="J131" s="95">
        <f t="shared" si="4"/>
        <v>40</v>
      </c>
    </row>
    <row r="132" spans="1:39" s="87" customFormat="1" ht="7.8" customHeight="1">
      <c r="B132" s="96"/>
      <c r="C132" s="105"/>
      <c r="D132" s="96"/>
      <c r="E132" s="105"/>
      <c r="F132" s="96"/>
      <c r="G132" s="105"/>
      <c r="H132" s="96"/>
      <c r="I132" s="105"/>
      <c r="J132" s="96"/>
    </row>
    <row r="133" spans="1:39" s="87" customFormat="1" ht="25.8" customHeight="1">
      <c r="B133" s="99" t="s">
        <v>87</v>
      </c>
      <c r="C133" s="90">
        <f>SUM(C126:C131)</f>
        <v>83</v>
      </c>
      <c r="D133" s="100">
        <f>SUM(D126:D131)</f>
        <v>68</v>
      </c>
      <c r="E133" s="90">
        <f>SUM(E126:E131)</f>
        <v>205</v>
      </c>
      <c r="F133" s="100">
        <f>SUM(F126:F131)</f>
        <v>127</v>
      </c>
      <c r="G133" s="90">
        <f>SUM(G126:G131)</f>
        <v>132</v>
      </c>
      <c r="H133" s="100">
        <f>SUM(H126:H131)</f>
        <v>65</v>
      </c>
      <c r="I133" s="90">
        <f>SUM(I126:I131)</f>
        <v>680</v>
      </c>
      <c r="J133" s="109">
        <f>SUM(J127:J131)</f>
        <v>100</v>
      </c>
    </row>
    <row r="144" spans="1:39" ht="41.4" customHeight="1">
      <c r="A144" s="37" t="s">
        <v>129</v>
      </c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</row>
    <row r="147" spans="2:8" ht="14.4" customHeight="1">
      <c r="B147" s="116" t="s">
        <v>127</v>
      </c>
      <c r="C147" s="101" t="s">
        <v>121</v>
      </c>
      <c r="D147" s="101" t="s">
        <v>111</v>
      </c>
      <c r="E147" s="101" t="s">
        <v>122</v>
      </c>
      <c r="F147" s="101" t="s">
        <v>113</v>
      </c>
      <c r="G147" s="101" t="s">
        <v>123</v>
      </c>
      <c r="H147" s="97" t="s">
        <v>72</v>
      </c>
    </row>
    <row r="148" spans="2:8">
      <c r="B148" s="117"/>
      <c r="C148" s="102"/>
      <c r="D148" s="102"/>
      <c r="E148" s="102"/>
      <c r="F148" s="102"/>
      <c r="G148" s="102"/>
      <c r="H148" s="98"/>
    </row>
    <row r="149" spans="2:8" ht="26.4">
      <c r="B149" s="118" t="s">
        <v>100</v>
      </c>
      <c r="C149" s="119">
        <f>C127/$C$133%</f>
        <v>2.4096385542168677</v>
      </c>
      <c r="D149" s="115">
        <f>D127/$D$133%</f>
        <v>7.3529411764705879</v>
      </c>
      <c r="E149" s="119">
        <f>E127/$E$133%</f>
        <v>3.4146341463414638</v>
      </c>
      <c r="F149" s="120">
        <f>F127/$F$133%</f>
        <v>4.7244094488188972</v>
      </c>
      <c r="G149" s="114">
        <f>G127/$G$133%</f>
        <v>11.363636363636363</v>
      </c>
      <c r="H149" s="115">
        <f>H127/$H$133%</f>
        <v>10.769230769230768</v>
      </c>
    </row>
    <row r="150" spans="2:8" ht="26.4">
      <c r="B150" s="118" t="s">
        <v>67</v>
      </c>
      <c r="C150" s="114">
        <f>C128/$C$133%</f>
        <v>6.024096385542169</v>
      </c>
      <c r="D150" s="115">
        <f>D128/$D$133%</f>
        <v>8.8235294117647047</v>
      </c>
      <c r="E150" s="114">
        <f>E128/$E$133%</f>
        <v>10.731707317073171</v>
      </c>
      <c r="F150" s="115">
        <f>F128/$F$133%</f>
        <v>10.236220472440944</v>
      </c>
      <c r="G150" s="114">
        <f t="shared" ref="G150:G153" si="5">G128/$G$133%</f>
        <v>16.666666666666664</v>
      </c>
      <c r="H150" s="115">
        <f>H128/$H$133%</f>
        <v>10.769230769230768</v>
      </c>
    </row>
    <row r="151" spans="2:8" ht="26.4">
      <c r="B151" s="91" t="s">
        <v>2</v>
      </c>
      <c r="C151" s="111">
        <f>C129/$C$133%</f>
        <v>20.481927710843376</v>
      </c>
      <c r="D151" s="110">
        <f>D129/$D$133%</f>
        <v>13.235294117647058</v>
      </c>
      <c r="E151" s="111">
        <f>E129/$E$133%</f>
        <v>16.097560975609756</v>
      </c>
      <c r="F151" s="110">
        <f>F129/$F$133%</f>
        <v>18.110236220472441</v>
      </c>
      <c r="G151" s="111">
        <f t="shared" si="5"/>
        <v>16.666666666666664</v>
      </c>
      <c r="H151" s="110">
        <f>H129/$H$133%</f>
        <v>7.6923076923076916</v>
      </c>
    </row>
    <row r="152" spans="2:8" ht="26.4">
      <c r="B152" s="118" t="s">
        <v>11</v>
      </c>
      <c r="C152" s="119">
        <f>C130/$C$133%</f>
        <v>32.53012048192771</v>
      </c>
      <c r="D152" s="115">
        <f>D130/$D$133%</f>
        <v>33.823529411764703</v>
      </c>
      <c r="E152" s="119">
        <f>E130/$E$133%</f>
        <v>25.853658536585368</v>
      </c>
      <c r="F152" s="120">
        <f>F130/$F$133%</f>
        <v>25.196850393700785</v>
      </c>
      <c r="G152" s="114">
        <f t="shared" si="5"/>
        <v>23.484848484848484</v>
      </c>
      <c r="H152" s="115">
        <f>H130/$H$133%</f>
        <v>24.615384615384613</v>
      </c>
    </row>
    <row r="153" spans="2:8" ht="36" customHeight="1">
      <c r="B153" s="118" t="s">
        <v>9</v>
      </c>
      <c r="C153" s="119">
        <f>C131/$C$133%</f>
        <v>38.554216867469883</v>
      </c>
      <c r="D153" s="115">
        <f>D131/$D$133%</f>
        <v>36.764705882352942</v>
      </c>
      <c r="E153" s="119">
        <f>E131/$E$133%</f>
        <v>43.902439024390247</v>
      </c>
      <c r="F153" s="120">
        <f>F131/$F$133%</f>
        <v>41.732283464566926</v>
      </c>
      <c r="G153" s="114">
        <f t="shared" si="5"/>
        <v>31.818181818181817</v>
      </c>
      <c r="H153" s="115">
        <f>H131/$H$133%</f>
        <v>46.153846153846153</v>
      </c>
    </row>
    <row r="154" spans="2:8">
      <c r="B154" s="96"/>
      <c r="C154" s="112"/>
      <c r="D154" s="113"/>
      <c r="E154" s="112"/>
      <c r="F154" s="113"/>
      <c r="G154" s="112"/>
      <c r="H154" s="113"/>
    </row>
    <row r="155" spans="2:8">
      <c r="B155" s="99" t="s">
        <v>87</v>
      </c>
      <c r="C155" s="114">
        <f>SUM(C148:C153)</f>
        <v>100</v>
      </c>
      <c r="D155" s="115">
        <f>SUM(D148:D153)</f>
        <v>100</v>
      </c>
      <c r="E155" s="114">
        <f>SUM(E148:E153)</f>
        <v>100</v>
      </c>
      <c r="F155" s="115">
        <f>SUM(F148:F153)</f>
        <v>100</v>
      </c>
      <c r="G155" s="114">
        <f>SUM(G148:G153)</f>
        <v>99.999999999999986</v>
      </c>
      <c r="H155" s="115">
        <f>SUM(H148:H153)</f>
        <v>100</v>
      </c>
    </row>
  </sheetData>
  <autoFilter ref="B45:D45" xr:uid="{29610DAB-78EF-41F6-8CCB-DFC1F0ACF839}">
    <sortState xmlns:xlrd2="http://schemas.microsoft.com/office/spreadsheetml/2017/richdata2" ref="B46:D49">
      <sortCondition ref="C45"/>
    </sortState>
  </autoFilter>
  <mergeCells count="32">
    <mergeCell ref="B147:B148"/>
    <mergeCell ref="C147:C148"/>
    <mergeCell ref="D147:D148"/>
    <mergeCell ref="E147:E148"/>
    <mergeCell ref="F147:F148"/>
    <mergeCell ref="G147:G148"/>
    <mergeCell ref="I125:I126"/>
    <mergeCell ref="J125:J126"/>
    <mergeCell ref="H147:H148"/>
    <mergeCell ref="A144:AM144"/>
    <mergeCell ref="B125:B126"/>
    <mergeCell ref="C125:C126"/>
    <mergeCell ref="D125:D126"/>
    <mergeCell ref="E125:E126"/>
    <mergeCell ref="F125:F126"/>
    <mergeCell ref="G125:G126"/>
    <mergeCell ref="H125:H126"/>
    <mergeCell ref="A44:AM44"/>
    <mergeCell ref="A72:AM72"/>
    <mergeCell ref="A96:AM96"/>
    <mergeCell ref="B98:B99"/>
    <mergeCell ref="A121:AM121"/>
    <mergeCell ref="M3:N3"/>
    <mergeCell ref="O3:P3"/>
    <mergeCell ref="B3:B4"/>
    <mergeCell ref="B9:B10"/>
    <mergeCell ref="A1:AM1"/>
    <mergeCell ref="C3:D3"/>
    <mergeCell ref="E3:F3"/>
    <mergeCell ref="G3:H3"/>
    <mergeCell ref="I3:J3"/>
    <mergeCell ref="K3:L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28C7-653C-4E76-BA1A-3C6DBAF15907}">
  <dimension ref="A2:M33"/>
  <sheetViews>
    <sheetView zoomScale="110" zoomScaleNormal="110" workbookViewId="0">
      <selection activeCell="S8" sqref="S8"/>
    </sheetView>
  </sheetViews>
  <sheetFormatPr defaultRowHeight="14.4"/>
  <cols>
    <col min="1" max="1" width="23.109375" customWidth="1"/>
  </cols>
  <sheetData>
    <row r="2" spans="1:13">
      <c r="G2" s="57" t="s">
        <v>125</v>
      </c>
      <c r="M2" s="51" t="s">
        <v>114</v>
      </c>
    </row>
    <row r="3" spans="1:13">
      <c r="M3" s="51"/>
    </row>
    <row r="4" spans="1:13">
      <c r="M4" s="51"/>
    </row>
    <row r="5" spans="1:13">
      <c r="M5" s="51"/>
    </row>
    <row r="6" spans="1:13">
      <c r="M6" s="51"/>
    </row>
    <row r="7" spans="1:13">
      <c r="M7" s="51"/>
    </row>
    <row r="8" spans="1:13">
      <c r="A8" s="58" t="s">
        <v>101</v>
      </c>
      <c r="B8" s="36" t="s">
        <v>122</v>
      </c>
      <c r="C8" s="36"/>
      <c r="D8" s="59" t="s">
        <v>113</v>
      </c>
      <c r="E8" s="60"/>
      <c r="M8" s="51"/>
    </row>
    <row r="9" spans="1:13">
      <c r="A9" s="61"/>
      <c r="B9" s="62" t="s">
        <v>105</v>
      </c>
      <c r="C9" s="62" t="s">
        <v>106</v>
      </c>
      <c r="D9" s="63" t="s">
        <v>105</v>
      </c>
      <c r="E9" s="64" t="s">
        <v>106</v>
      </c>
      <c r="M9" s="51"/>
    </row>
    <row r="10" spans="1:13">
      <c r="A10" s="65" t="s">
        <v>102</v>
      </c>
      <c r="B10" s="66">
        <f>B12-B11</f>
        <v>125</v>
      </c>
      <c r="C10" s="67">
        <f>B10/$B$12%</f>
        <v>52.742616033755269</v>
      </c>
      <c r="D10" s="68">
        <f>D12-D11</f>
        <v>47</v>
      </c>
      <c r="E10" s="69">
        <f>D10/$D$12%</f>
        <v>41.592920353982308</v>
      </c>
      <c r="M10" s="51"/>
    </row>
    <row r="11" spans="1:13">
      <c r="A11" s="65" t="s">
        <v>103</v>
      </c>
      <c r="B11" s="66">
        <v>112</v>
      </c>
      <c r="C11" s="67">
        <f>B11/$B$12%</f>
        <v>47.257383966244724</v>
      </c>
      <c r="D11" s="68">
        <v>66</v>
      </c>
      <c r="E11" s="69">
        <f>D11/$D$12%</f>
        <v>58.407079646017706</v>
      </c>
      <c r="M11" s="51"/>
    </row>
    <row r="12" spans="1:13">
      <c r="A12" s="70" t="s">
        <v>87</v>
      </c>
      <c r="B12" s="71">
        <v>237</v>
      </c>
      <c r="C12" s="72">
        <v>100</v>
      </c>
      <c r="D12" s="71">
        <v>113</v>
      </c>
      <c r="E12" s="73">
        <v>100</v>
      </c>
      <c r="M12" s="51"/>
    </row>
    <row r="13" spans="1:13">
      <c r="M13" s="51"/>
    </row>
    <row r="14" spans="1:13">
      <c r="M14" s="51"/>
    </row>
    <row r="15" spans="1:13">
      <c r="M15" s="51"/>
    </row>
    <row r="16" spans="1:13">
      <c r="M16" s="51"/>
    </row>
    <row r="17" spans="1:13">
      <c r="M17" s="51"/>
    </row>
    <row r="18" spans="1:13">
      <c r="M18" s="51"/>
    </row>
    <row r="19" spans="1:13">
      <c r="M19" s="51"/>
    </row>
    <row r="20" spans="1:13">
      <c r="M20" s="51"/>
    </row>
    <row r="21" spans="1:13">
      <c r="M21" s="51"/>
    </row>
    <row r="22" spans="1:13">
      <c r="M22" s="51"/>
    </row>
    <row r="23" spans="1:13">
      <c r="M23" s="51"/>
    </row>
    <row r="24" spans="1:13">
      <c r="M24" s="51"/>
    </row>
    <row r="25" spans="1:13">
      <c r="M25" s="51"/>
    </row>
    <row r="26" spans="1:13">
      <c r="M26" s="51"/>
    </row>
    <row r="27" spans="1:13">
      <c r="B27" t="s">
        <v>125</v>
      </c>
      <c r="C27" t="s">
        <v>114</v>
      </c>
      <c r="M27" s="51"/>
    </row>
    <row r="28" spans="1:13">
      <c r="A28" t="s">
        <v>67</v>
      </c>
      <c r="B28">
        <v>22</v>
      </c>
      <c r="C28">
        <v>13</v>
      </c>
      <c r="M28" s="51"/>
    </row>
    <row r="29" spans="1:13">
      <c r="A29" t="s">
        <v>9</v>
      </c>
      <c r="B29">
        <v>90</v>
      </c>
      <c r="C29">
        <v>53</v>
      </c>
      <c r="M29" s="51"/>
    </row>
    <row r="30" spans="1:13">
      <c r="A30" t="s">
        <v>2</v>
      </c>
      <c r="B30">
        <v>33</v>
      </c>
      <c r="C30">
        <v>23</v>
      </c>
    </row>
    <row r="31" spans="1:13">
      <c r="A31" t="s">
        <v>11</v>
      </c>
      <c r="B31">
        <v>53</v>
      </c>
      <c r="C31">
        <v>32</v>
      </c>
    </row>
    <row r="32" spans="1:13">
      <c r="A32" t="s">
        <v>100</v>
      </c>
      <c r="B32">
        <v>7</v>
      </c>
      <c r="C32">
        <v>6</v>
      </c>
    </row>
    <row r="33" spans="2:3">
      <c r="B33">
        <f>SUM(B28:B32)</f>
        <v>205</v>
      </c>
      <c r="C33">
        <f>SUM(C28:C32)</f>
        <v>127</v>
      </c>
    </row>
  </sheetData>
  <mergeCells count="3">
    <mergeCell ref="A8:A9"/>
    <mergeCell ref="B8:C8"/>
    <mergeCell ref="D8:E8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3427-A47B-4318-AE9A-BEA25BACF26B}">
  <dimension ref="A1:L24"/>
  <sheetViews>
    <sheetView topLeftCell="A10" workbookViewId="0">
      <selection activeCell="K24" sqref="F2:K24"/>
    </sheetView>
  </sheetViews>
  <sheetFormatPr defaultRowHeight="14.4"/>
  <cols>
    <col min="1" max="1" width="18.109375" bestFit="1" customWidth="1"/>
    <col min="2" max="3" width="18.88671875" bestFit="1" customWidth="1"/>
    <col min="4" max="5" width="14.6640625" bestFit="1" customWidth="1"/>
  </cols>
  <sheetData>
    <row r="1" spans="1:12">
      <c r="K1" t="s">
        <v>97</v>
      </c>
      <c r="L1" t="s">
        <v>98</v>
      </c>
    </row>
    <row r="2" spans="1:12">
      <c r="A2" t="s">
        <v>67</v>
      </c>
      <c r="F2">
        <f>COUNTA(A2)</f>
        <v>1</v>
      </c>
      <c r="G2">
        <f t="shared" ref="G2:J17" si="0">COUNTA(B2)</f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>SUM(F2:J2)</f>
        <v>1</v>
      </c>
      <c r="L2">
        <v>1</v>
      </c>
    </row>
    <row r="3" spans="1:12">
      <c r="A3" t="s">
        <v>11</v>
      </c>
      <c r="F3">
        <f t="shared" ref="F3:F23" si="1">COUNTA(A3)</f>
        <v>1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ref="K3:K24" si="2">SUM(F3:J3)</f>
        <v>1</v>
      </c>
      <c r="L3">
        <v>9</v>
      </c>
    </row>
    <row r="4" spans="1:12">
      <c r="A4" t="s">
        <v>11</v>
      </c>
      <c r="B4" t="s">
        <v>92</v>
      </c>
      <c r="F4">
        <f t="shared" si="1"/>
        <v>1</v>
      </c>
      <c r="G4">
        <f t="shared" si="0"/>
        <v>1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2"/>
        <v>2</v>
      </c>
      <c r="L4">
        <v>3</v>
      </c>
    </row>
    <row r="5" spans="1:12">
      <c r="A5" t="s">
        <v>11</v>
      </c>
      <c r="B5" t="s">
        <v>92</v>
      </c>
      <c r="C5" t="s">
        <v>93</v>
      </c>
      <c r="F5">
        <f t="shared" si="1"/>
        <v>1</v>
      </c>
      <c r="G5">
        <f t="shared" si="0"/>
        <v>1</v>
      </c>
      <c r="H5">
        <f t="shared" si="0"/>
        <v>1</v>
      </c>
      <c r="I5">
        <f t="shared" si="0"/>
        <v>0</v>
      </c>
      <c r="J5">
        <f t="shared" si="0"/>
        <v>0</v>
      </c>
      <c r="K5">
        <f t="shared" si="2"/>
        <v>3</v>
      </c>
      <c r="L5">
        <v>1</v>
      </c>
    </row>
    <row r="6" spans="1:12">
      <c r="A6" t="s">
        <v>9</v>
      </c>
      <c r="F6">
        <f t="shared" si="1"/>
        <v>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2"/>
        <v>1</v>
      </c>
      <c r="L6">
        <v>26</v>
      </c>
    </row>
    <row r="7" spans="1:12">
      <c r="A7" t="s">
        <v>9</v>
      </c>
      <c r="B7" t="s">
        <v>94</v>
      </c>
      <c r="F7">
        <f t="shared" si="1"/>
        <v>1</v>
      </c>
      <c r="G7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2"/>
        <v>2</v>
      </c>
      <c r="L7">
        <v>1</v>
      </c>
    </row>
    <row r="8" spans="1:12">
      <c r="A8" t="s">
        <v>9</v>
      </c>
      <c r="B8" t="s">
        <v>93</v>
      </c>
      <c r="F8">
        <f t="shared" si="1"/>
        <v>1</v>
      </c>
      <c r="G8">
        <f t="shared" si="0"/>
        <v>1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2"/>
        <v>2</v>
      </c>
      <c r="L8">
        <v>7</v>
      </c>
    </row>
    <row r="9" spans="1:12">
      <c r="A9" t="s">
        <v>9</v>
      </c>
      <c r="B9" t="s">
        <v>95</v>
      </c>
      <c r="F9">
        <f t="shared" si="1"/>
        <v>1</v>
      </c>
      <c r="G9">
        <f t="shared" si="0"/>
        <v>1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2"/>
        <v>2</v>
      </c>
      <c r="L9">
        <v>30</v>
      </c>
    </row>
    <row r="10" spans="1:12">
      <c r="A10" t="s">
        <v>9</v>
      </c>
      <c r="B10" t="s">
        <v>95</v>
      </c>
      <c r="C10" t="s">
        <v>94</v>
      </c>
      <c r="F10">
        <f t="shared" si="1"/>
        <v>1</v>
      </c>
      <c r="G10">
        <f t="shared" si="0"/>
        <v>1</v>
      </c>
      <c r="H10">
        <f t="shared" si="0"/>
        <v>1</v>
      </c>
      <c r="I10">
        <f t="shared" si="0"/>
        <v>0</v>
      </c>
      <c r="J10">
        <f t="shared" si="0"/>
        <v>0</v>
      </c>
      <c r="K10">
        <f t="shared" si="2"/>
        <v>3</v>
      </c>
      <c r="L10">
        <v>2</v>
      </c>
    </row>
    <row r="11" spans="1:12">
      <c r="A11" t="s">
        <v>9</v>
      </c>
      <c r="B11" t="s">
        <v>95</v>
      </c>
      <c r="C11" t="s">
        <v>93</v>
      </c>
      <c r="F11">
        <f t="shared" si="1"/>
        <v>1</v>
      </c>
      <c r="G11">
        <f t="shared" si="0"/>
        <v>1</v>
      </c>
      <c r="H11">
        <f t="shared" si="0"/>
        <v>1</v>
      </c>
      <c r="I11">
        <f t="shared" si="0"/>
        <v>0</v>
      </c>
      <c r="J11">
        <f t="shared" si="0"/>
        <v>0</v>
      </c>
      <c r="K11">
        <f t="shared" si="2"/>
        <v>3</v>
      </c>
      <c r="L11">
        <v>9</v>
      </c>
    </row>
    <row r="12" spans="1:12">
      <c r="A12" t="s">
        <v>9</v>
      </c>
      <c r="B12" t="s">
        <v>95</v>
      </c>
      <c r="C12" t="s">
        <v>94</v>
      </c>
      <c r="D12" t="s">
        <v>92</v>
      </c>
      <c r="F12">
        <f t="shared" si="1"/>
        <v>1</v>
      </c>
      <c r="G12">
        <f t="shared" si="0"/>
        <v>1</v>
      </c>
      <c r="H12">
        <f t="shared" si="0"/>
        <v>1</v>
      </c>
      <c r="I12">
        <f t="shared" si="0"/>
        <v>1</v>
      </c>
      <c r="J12">
        <f t="shared" si="0"/>
        <v>0</v>
      </c>
      <c r="K12">
        <f t="shared" si="2"/>
        <v>4</v>
      </c>
      <c r="L12">
        <v>2</v>
      </c>
    </row>
    <row r="13" spans="1:12">
      <c r="A13" t="s">
        <v>9</v>
      </c>
      <c r="B13" t="s">
        <v>95</v>
      </c>
      <c r="C13" t="s">
        <v>93</v>
      </c>
      <c r="D13" t="s">
        <v>92</v>
      </c>
      <c r="F13">
        <f t="shared" si="1"/>
        <v>1</v>
      </c>
      <c r="G13">
        <f t="shared" si="0"/>
        <v>1</v>
      </c>
      <c r="H13">
        <f t="shared" si="0"/>
        <v>1</v>
      </c>
      <c r="I13">
        <f t="shared" si="0"/>
        <v>1</v>
      </c>
      <c r="J13">
        <f t="shared" si="0"/>
        <v>0</v>
      </c>
      <c r="K13">
        <f t="shared" si="2"/>
        <v>4</v>
      </c>
      <c r="L13">
        <v>1</v>
      </c>
    </row>
    <row r="14" spans="1:12">
      <c r="A14" t="s">
        <v>9</v>
      </c>
      <c r="B14" t="s">
        <v>95</v>
      </c>
      <c r="C14" t="s">
        <v>96</v>
      </c>
      <c r="F14">
        <f t="shared" si="1"/>
        <v>1</v>
      </c>
      <c r="G14">
        <f t="shared" si="0"/>
        <v>1</v>
      </c>
      <c r="H14">
        <f t="shared" si="0"/>
        <v>1</v>
      </c>
      <c r="I14">
        <f t="shared" si="0"/>
        <v>0</v>
      </c>
      <c r="J14">
        <f t="shared" si="0"/>
        <v>0</v>
      </c>
      <c r="K14">
        <f t="shared" si="2"/>
        <v>3</v>
      </c>
      <c r="L14">
        <v>10</v>
      </c>
    </row>
    <row r="15" spans="1:12">
      <c r="A15" t="s">
        <v>9</v>
      </c>
      <c r="B15" t="s">
        <v>95</v>
      </c>
      <c r="C15" t="s">
        <v>96</v>
      </c>
      <c r="D15" t="s">
        <v>94</v>
      </c>
      <c r="F15">
        <f t="shared" si="1"/>
        <v>1</v>
      </c>
      <c r="G15">
        <f t="shared" si="0"/>
        <v>1</v>
      </c>
      <c r="H15">
        <f t="shared" si="0"/>
        <v>1</v>
      </c>
      <c r="I15">
        <f t="shared" si="0"/>
        <v>1</v>
      </c>
      <c r="J15">
        <f t="shared" si="0"/>
        <v>0</v>
      </c>
      <c r="K15">
        <f t="shared" si="2"/>
        <v>4</v>
      </c>
      <c r="L15">
        <v>1</v>
      </c>
    </row>
    <row r="16" spans="1:12">
      <c r="A16" t="s">
        <v>9</v>
      </c>
      <c r="B16" t="s">
        <v>95</v>
      </c>
      <c r="C16" t="s">
        <v>96</v>
      </c>
      <c r="D16" t="s">
        <v>93</v>
      </c>
      <c r="E16" t="s">
        <v>92</v>
      </c>
      <c r="F16">
        <f t="shared" si="1"/>
        <v>1</v>
      </c>
      <c r="G16">
        <f t="shared" si="0"/>
        <v>1</v>
      </c>
      <c r="H16">
        <f t="shared" si="0"/>
        <v>1</v>
      </c>
      <c r="I16">
        <f t="shared" si="0"/>
        <v>1</v>
      </c>
      <c r="J16">
        <f t="shared" si="0"/>
        <v>1</v>
      </c>
      <c r="K16">
        <f t="shared" si="2"/>
        <v>5</v>
      </c>
      <c r="L16">
        <v>1</v>
      </c>
    </row>
    <row r="17" spans="1:12">
      <c r="A17" t="s">
        <v>9</v>
      </c>
      <c r="B17" t="s">
        <v>95</v>
      </c>
      <c r="C17" t="s">
        <v>96</v>
      </c>
      <c r="D17" t="s">
        <v>92</v>
      </c>
      <c r="F17">
        <f t="shared" si="1"/>
        <v>1</v>
      </c>
      <c r="G17">
        <f t="shared" si="0"/>
        <v>1</v>
      </c>
      <c r="H17">
        <f t="shared" si="0"/>
        <v>1</v>
      </c>
      <c r="I17">
        <f t="shared" si="0"/>
        <v>1</v>
      </c>
      <c r="J17">
        <f t="shared" si="0"/>
        <v>0</v>
      </c>
      <c r="K17">
        <f t="shared" si="2"/>
        <v>4</v>
      </c>
      <c r="L17">
        <v>5</v>
      </c>
    </row>
    <row r="18" spans="1:12">
      <c r="A18" t="s">
        <v>9</v>
      </c>
      <c r="B18" t="s">
        <v>95</v>
      </c>
      <c r="C18" t="s">
        <v>96</v>
      </c>
      <c r="D18" t="s">
        <v>92</v>
      </c>
      <c r="E18" t="s">
        <v>93</v>
      </c>
      <c r="F18">
        <f t="shared" si="1"/>
        <v>1</v>
      </c>
      <c r="G18">
        <f t="shared" ref="G18:G24" si="3">COUNTA(B18)</f>
        <v>1</v>
      </c>
      <c r="H18">
        <f t="shared" ref="H18:H24" si="4">COUNTA(C18)</f>
        <v>1</v>
      </c>
      <c r="I18">
        <f t="shared" ref="I18:I24" si="5">COUNTA(D18)</f>
        <v>1</v>
      </c>
      <c r="J18">
        <f t="shared" ref="J18:J24" si="6">COUNTA(E18)</f>
        <v>1</v>
      </c>
      <c r="K18">
        <f t="shared" si="2"/>
        <v>5</v>
      </c>
      <c r="L18">
        <v>6</v>
      </c>
    </row>
    <row r="19" spans="1:12">
      <c r="A19" t="s">
        <v>9</v>
      </c>
      <c r="B19" t="s">
        <v>95</v>
      </c>
      <c r="C19" t="s">
        <v>92</v>
      </c>
      <c r="F19">
        <f t="shared" si="1"/>
        <v>1</v>
      </c>
      <c r="G19">
        <f t="shared" si="3"/>
        <v>1</v>
      </c>
      <c r="H19">
        <f t="shared" si="4"/>
        <v>1</v>
      </c>
      <c r="I19">
        <f t="shared" si="5"/>
        <v>0</v>
      </c>
      <c r="J19">
        <f t="shared" si="6"/>
        <v>0</v>
      </c>
      <c r="K19">
        <f t="shared" si="2"/>
        <v>3</v>
      </c>
      <c r="L19">
        <v>8</v>
      </c>
    </row>
    <row r="20" spans="1:12">
      <c r="A20" t="s">
        <v>9</v>
      </c>
      <c r="B20" t="s">
        <v>95</v>
      </c>
      <c r="C20" t="s">
        <v>92</v>
      </c>
      <c r="D20" t="s">
        <v>93</v>
      </c>
      <c r="F20">
        <f t="shared" si="1"/>
        <v>1</v>
      </c>
      <c r="G20">
        <f t="shared" si="3"/>
        <v>1</v>
      </c>
      <c r="H20">
        <f t="shared" si="4"/>
        <v>1</v>
      </c>
      <c r="I20">
        <f t="shared" si="5"/>
        <v>1</v>
      </c>
      <c r="J20">
        <f t="shared" si="6"/>
        <v>0</v>
      </c>
      <c r="K20">
        <f t="shared" si="2"/>
        <v>4</v>
      </c>
      <c r="L20">
        <v>8</v>
      </c>
    </row>
    <row r="21" spans="1:12">
      <c r="A21" t="s">
        <v>9</v>
      </c>
      <c r="B21" t="s">
        <v>96</v>
      </c>
      <c r="F21">
        <f t="shared" si="1"/>
        <v>1</v>
      </c>
      <c r="G21">
        <f t="shared" si="3"/>
        <v>1</v>
      </c>
      <c r="H21">
        <f t="shared" si="4"/>
        <v>0</v>
      </c>
      <c r="I21">
        <f t="shared" si="5"/>
        <v>0</v>
      </c>
      <c r="J21">
        <f t="shared" si="6"/>
        <v>0</v>
      </c>
      <c r="K21">
        <f t="shared" si="2"/>
        <v>2</v>
      </c>
      <c r="L21">
        <v>5</v>
      </c>
    </row>
    <row r="22" spans="1:12">
      <c r="A22" t="s">
        <v>9</v>
      </c>
      <c r="B22" t="s">
        <v>96</v>
      </c>
      <c r="C22" t="s">
        <v>92</v>
      </c>
      <c r="D22" t="s">
        <v>93</v>
      </c>
      <c r="F22">
        <f t="shared" si="1"/>
        <v>1</v>
      </c>
      <c r="G22">
        <f t="shared" si="3"/>
        <v>1</v>
      </c>
      <c r="H22">
        <f t="shared" si="4"/>
        <v>1</v>
      </c>
      <c r="I22">
        <f t="shared" si="5"/>
        <v>1</v>
      </c>
      <c r="J22">
        <f t="shared" si="6"/>
        <v>0</v>
      </c>
      <c r="K22">
        <f t="shared" si="2"/>
        <v>4</v>
      </c>
      <c r="L22">
        <v>1</v>
      </c>
    </row>
    <row r="23" spans="1:12">
      <c r="A23" t="s">
        <v>9</v>
      </c>
      <c r="B23" t="s">
        <v>92</v>
      </c>
      <c r="F23">
        <f t="shared" si="1"/>
        <v>1</v>
      </c>
      <c r="G23">
        <f t="shared" si="3"/>
        <v>1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2"/>
        <v>2</v>
      </c>
      <c r="L23">
        <v>6</v>
      </c>
    </row>
    <row r="24" spans="1:12">
      <c r="A24" t="s">
        <v>2</v>
      </c>
      <c r="F24">
        <f>COUNTA(A24)</f>
        <v>1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  <c r="K24">
        <f t="shared" si="2"/>
        <v>1</v>
      </c>
      <c r="L24">
        <v>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B591-EED0-4A6D-8B00-64ABB8169DDF}">
  <dimension ref="A1:V50"/>
  <sheetViews>
    <sheetView showGridLines="0" topLeftCell="A85" zoomScale="79" zoomScaleNormal="79" workbookViewId="0">
      <selection activeCell="I24" sqref="I24"/>
    </sheetView>
  </sheetViews>
  <sheetFormatPr defaultRowHeight="14.4"/>
  <cols>
    <col min="1" max="1" width="8.5546875" customWidth="1"/>
    <col min="2" max="2" width="23.33203125" customWidth="1"/>
    <col min="3" max="3" width="16.5546875" bestFit="1" customWidth="1"/>
    <col min="7" max="7" width="19.88671875" bestFit="1" customWidth="1"/>
    <col min="8" max="8" width="21.21875" customWidth="1"/>
    <col min="14" max="14" width="20.21875" bestFit="1" customWidth="1"/>
    <col min="15" max="15" width="12.33203125" bestFit="1" customWidth="1"/>
    <col min="16" max="16" width="11" bestFit="1" customWidth="1"/>
    <col min="17" max="17" width="13.33203125" bestFit="1" customWidth="1"/>
    <col min="18" max="18" width="11.77734375" bestFit="1" customWidth="1"/>
    <col min="19" max="19" width="14.33203125" bestFit="1" customWidth="1"/>
    <col min="20" max="20" width="8.44140625" bestFit="1" customWidth="1"/>
    <col min="21" max="21" width="19.6640625" customWidth="1"/>
  </cols>
  <sheetData>
    <row r="1" spans="1:22" ht="15" thickBot="1">
      <c r="A1" t="s">
        <v>99</v>
      </c>
      <c r="B1" t="s">
        <v>97</v>
      </c>
      <c r="C1" t="s">
        <v>98</v>
      </c>
      <c r="G1" s="77" t="s">
        <v>97</v>
      </c>
      <c r="H1" s="77" t="s">
        <v>98</v>
      </c>
    </row>
    <row r="2" spans="1:22">
      <c r="A2">
        <v>1</v>
      </c>
      <c r="B2" s="12">
        <v>1</v>
      </c>
      <c r="C2" s="13">
        <v>1</v>
      </c>
      <c r="G2" s="77">
        <v>1</v>
      </c>
      <c r="H2" s="77">
        <f>SUM(C2:C5)</f>
        <v>47</v>
      </c>
    </row>
    <row r="3" spans="1:22">
      <c r="A3">
        <v>2</v>
      </c>
      <c r="B3" s="14">
        <v>1</v>
      </c>
      <c r="C3" s="15">
        <v>9</v>
      </c>
      <c r="G3" s="77">
        <v>2</v>
      </c>
      <c r="H3" s="77">
        <f>SUM(C6:C11)</f>
        <v>52</v>
      </c>
    </row>
    <row r="4" spans="1:22">
      <c r="A4">
        <v>5</v>
      </c>
      <c r="B4" s="14">
        <v>1</v>
      </c>
      <c r="C4" s="15">
        <v>26</v>
      </c>
      <c r="G4" s="77">
        <v>3</v>
      </c>
      <c r="H4" s="77">
        <f>SUM(C12:C16)</f>
        <v>30</v>
      </c>
    </row>
    <row r="5" spans="1:22" ht="15" thickBot="1">
      <c r="A5">
        <v>23</v>
      </c>
      <c r="B5" s="16">
        <v>1</v>
      </c>
      <c r="C5" s="17">
        <v>11</v>
      </c>
      <c r="G5" s="77">
        <v>4</v>
      </c>
      <c r="H5" s="77">
        <f>SUM(C17:C22)</f>
        <v>18</v>
      </c>
    </row>
    <row r="6" spans="1:22">
      <c r="A6">
        <v>3</v>
      </c>
      <c r="B6" s="12">
        <v>2</v>
      </c>
      <c r="C6" s="13">
        <v>3</v>
      </c>
      <c r="G6" s="77">
        <v>5</v>
      </c>
      <c r="H6" s="77">
        <f>SUM(C23:C24)</f>
        <v>7</v>
      </c>
    </row>
    <row r="7" spans="1:22">
      <c r="A7">
        <v>6</v>
      </c>
      <c r="B7" s="14">
        <v>2</v>
      </c>
      <c r="C7" s="15">
        <v>1</v>
      </c>
      <c r="G7" s="78"/>
      <c r="H7" s="78">
        <f>SUM(H2:H6)</f>
        <v>154</v>
      </c>
    </row>
    <row r="8" spans="1:22">
      <c r="A8">
        <v>7</v>
      </c>
      <c r="B8" s="14">
        <v>2</v>
      </c>
      <c r="C8" s="15">
        <v>7</v>
      </c>
    </row>
    <row r="9" spans="1:22" ht="14.4" customHeight="1">
      <c r="A9">
        <v>8</v>
      </c>
      <c r="B9" s="14">
        <v>2</v>
      </c>
      <c r="C9" s="15">
        <v>30</v>
      </c>
      <c r="G9" s="80" t="s">
        <v>127</v>
      </c>
      <c r="H9" s="79" t="s">
        <v>126</v>
      </c>
      <c r="I9" s="74" t="s">
        <v>104</v>
      </c>
      <c r="J9" s="74"/>
      <c r="K9" s="74" t="s">
        <v>87</v>
      </c>
      <c r="N9" s="79" t="s">
        <v>127</v>
      </c>
      <c r="O9" s="79" t="s">
        <v>121</v>
      </c>
      <c r="P9" s="79" t="s">
        <v>111</v>
      </c>
      <c r="Q9" s="79" t="s">
        <v>122</v>
      </c>
      <c r="R9" s="79" t="s">
        <v>113</v>
      </c>
      <c r="S9" s="79" t="s">
        <v>123</v>
      </c>
      <c r="T9" s="79" t="s">
        <v>72</v>
      </c>
      <c r="U9" s="79" t="s">
        <v>87</v>
      </c>
      <c r="V9" s="74" t="s">
        <v>106</v>
      </c>
    </row>
    <row r="10" spans="1:22">
      <c r="A10">
        <v>20</v>
      </c>
      <c r="B10" s="14">
        <v>2</v>
      </c>
      <c r="C10" s="15">
        <v>5</v>
      </c>
      <c r="G10" s="80"/>
      <c r="H10" s="79"/>
      <c r="I10" s="18" t="s">
        <v>125</v>
      </c>
      <c r="J10" s="18" t="s">
        <v>114</v>
      </c>
      <c r="K10" s="74"/>
      <c r="N10" s="79"/>
      <c r="O10" s="79"/>
      <c r="P10" s="79"/>
      <c r="Q10" s="79"/>
      <c r="R10" s="79"/>
      <c r="S10" s="79"/>
      <c r="T10" s="79"/>
      <c r="U10" s="79"/>
      <c r="V10" s="74"/>
    </row>
    <row r="11" spans="1:22" ht="15" thickBot="1">
      <c r="A11">
        <v>22</v>
      </c>
      <c r="B11" s="16">
        <v>2</v>
      </c>
      <c r="C11" s="17">
        <v>6</v>
      </c>
      <c r="G11" s="75" t="s">
        <v>9</v>
      </c>
      <c r="H11" s="18">
        <f>42+30+25+32</f>
        <v>129</v>
      </c>
      <c r="I11" s="18">
        <v>90</v>
      </c>
      <c r="J11" s="18">
        <v>53</v>
      </c>
      <c r="K11" s="18">
        <f>SUM(H11:J11)</f>
        <v>272</v>
      </c>
      <c r="N11" s="75" t="s">
        <v>100</v>
      </c>
      <c r="O11" s="82">
        <v>2</v>
      </c>
      <c r="P11" s="76">
        <v>5</v>
      </c>
      <c r="Q11" s="82">
        <v>7</v>
      </c>
      <c r="R11" s="82">
        <v>6</v>
      </c>
      <c r="S11" s="76">
        <v>15</v>
      </c>
      <c r="T11" s="76">
        <v>7</v>
      </c>
      <c r="U11" s="81">
        <f>SUM(O11:T11)</f>
        <v>42</v>
      </c>
      <c r="V11" s="83">
        <f>U11/$U$17%</f>
        <v>6.1764705882352944</v>
      </c>
    </row>
    <row r="12" spans="1:22">
      <c r="A12">
        <v>4</v>
      </c>
      <c r="B12" s="12">
        <v>3</v>
      </c>
      <c r="C12" s="13">
        <v>1</v>
      </c>
      <c r="G12" s="75" t="s">
        <v>11</v>
      </c>
      <c r="H12" s="18">
        <f>31+16+23+27</f>
        <v>97</v>
      </c>
      <c r="I12" s="18">
        <v>53</v>
      </c>
      <c r="J12" s="18">
        <v>32</v>
      </c>
      <c r="K12" s="18">
        <f t="shared" ref="K12:K15" si="0">SUM(H12:J12)</f>
        <v>182</v>
      </c>
      <c r="N12" s="75" t="s">
        <v>67</v>
      </c>
      <c r="O12" s="81">
        <v>5</v>
      </c>
      <c r="P12" s="76">
        <v>6</v>
      </c>
      <c r="Q12" s="81">
        <v>22</v>
      </c>
      <c r="R12" s="81">
        <v>13</v>
      </c>
      <c r="S12" s="76">
        <v>22</v>
      </c>
      <c r="T12" s="76">
        <v>7</v>
      </c>
      <c r="U12" s="81">
        <f>SUM(O12:T12)</f>
        <v>75</v>
      </c>
      <c r="V12" s="83">
        <f t="shared" ref="V12:V15" si="1">U12/$U$17%</f>
        <v>11.029411764705882</v>
      </c>
    </row>
    <row r="13" spans="1:22">
      <c r="A13">
        <v>9</v>
      </c>
      <c r="B13" s="14">
        <v>3</v>
      </c>
      <c r="C13" s="15">
        <v>2</v>
      </c>
      <c r="G13" s="75" t="s">
        <v>100</v>
      </c>
      <c r="H13" s="18">
        <f>15+7+5+2</f>
        <v>29</v>
      </c>
      <c r="I13" s="18">
        <v>7</v>
      </c>
      <c r="J13" s="18">
        <v>6</v>
      </c>
      <c r="K13" s="18">
        <f t="shared" si="0"/>
        <v>42</v>
      </c>
      <c r="N13" s="75" t="s">
        <v>2</v>
      </c>
      <c r="O13" s="81">
        <v>17</v>
      </c>
      <c r="P13" s="76">
        <v>9</v>
      </c>
      <c r="Q13" s="81">
        <v>33</v>
      </c>
      <c r="R13" s="81">
        <v>23</v>
      </c>
      <c r="S13" s="76">
        <v>22</v>
      </c>
      <c r="T13" s="76">
        <v>5</v>
      </c>
      <c r="U13" s="81">
        <f>SUM(O13:T13)</f>
        <v>109</v>
      </c>
      <c r="V13" s="83">
        <f t="shared" si="1"/>
        <v>16.029411764705884</v>
      </c>
    </row>
    <row r="14" spans="1:22">
      <c r="A14">
        <v>10</v>
      </c>
      <c r="B14" s="14">
        <v>3</v>
      </c>
      <c r="C14" s="15">
        <v>9</v>
      </c>
      <c r="G14" s="75" t="s">
        <v>67</v>
      </c>
      <c r="H14" s="18">
        <f>22+7+6+5</f>
        <v>40</v>
      </c>
      <c r="I14" s="18">
        <v>22</v>
      </c>
      <c r="J14" s="18">
        <v>13</v>
      </c>
      <c r="K14" s="18">
        <f t="shared" si="0"/>
        <v>75</v>
      </c>
      <c r="N14" s="75" t="s">
        <v>11</v>
      </c>
      <c r="O14" s="82">
        <v>27</v>
      </c>
      <c r="P14" s="76">
        <v>23</v>
      </c>
      <c r="Q14" s="82">
        <v>53</v>
      </c>
      <c r="R14" s="82">
        <v>32</v>
      </c>
      <c r="S14" s="76">
        <v>31</v>
      </c>
      <c r="T14" s="76">
        <v>16</v>
      </c>
      <c r="U14" s="81">
        <f>SUM(O14:T14)</f>
        <v>182</v>
      </c>
      <c r="V14" s="83">
        <f t="shared" si="1"/>
        <v>26.764705882352942</v>
      </c>
    </row>
    <row r="15" spans="1:22">
      <c r="A15">
        <v>13</v>
      </c>
      <c r="B15" s="14">
        <v>3</v>
      </c>
      <c r="C15" s="15">
        <v>10</v>
      </c>
      <c r="G15" s="75" t="s">
        <v>2</v>
      </c>
      <c r="H15" s="18">
        <f>22+5+9+17</f>
        <v>53</v>
      </c>
      <c r="I15" s="18">
        <v>33</v>
      </c>
      <c r="J15" s="18">
        <v>23</v>
      </c>
      <c r="K15" s="18">
        <f t="shared" si="0"/>
        <v>109</v>
      </c>
      <c r="N15" s="75" t="s">
        <v>9</v>
      </c>
      <c r="O15" s="82">
        <v>32</v>
      </c>
      <c r="P15" s="76">
        <v>25</v>
      </c>
      <c r="Q15" s="82">
        <v>90</v>
      </c>
      <c r="R15" s="82">
        <v>53</v>
      </c>
      <c r="S15" s="76">
        <v>42</v>
      </c>
      <c r="T15" s="76">
        <v>30</v>
      </c>
      <c r="U15" s="81">
        <f>SUM(O15:T15)</f>
        <v>272</v>
      </c>
      <c r="V15" s="83">
        <f t="shared" si="1"/>
        <v>40</v>
      </c>
    </row>
    <row r="16" spans="1:22" ht="15" thickBot="1">
      <c r="A16">
        <v>18</v>
      </c>
      <c r="B16" s="16">
        <v>3</v>
      </c>
      <c r="C16" s="17">
        <v>8</v>
      </c>
      <c r="G16" s="18"/>
      <c r="H16" s="18">
        <f>SUM(H11:H15)</f>
        <v>348</v>
      </c>
      <c r="I16" s="18">
        <f>SUM(I11:I15)</f>
        <v>205</v>
      </c>
      <c r="J16" s="18">
        <f>SUM(J11:J15)</f>
        <v>127</v>
      </c>
      <c r="K16" s="18">
        <f>SUM(K11:K15)</f>
        <v>680</v>
      </c>
      <c r="N16" s="18"/>
      <c r="O16" s="18"/>
      <c r="P16" s="18"/>
      <c r="Q16" s="18"/>
      <c r="R16" s="18"/>
      <c r="S16" s="18"/>
      <c r="T16" s="18"/>
      <c r="U16" s="18"/>
      <c r="V16" s="18"/>
    </row>
    <row r="17" spans="1:22">
      <c r="A17">
        <v>11</v>
      </c>
      <c r="B17" s="12">
        <v>4</v>
      </c>
      <c r="C17" s="13">
        <v>2</v>
      </c>
      <c r="N17" s="18" t="s">
        <v>87</v>
      </c>
      <c r="O17" s="81">
        <f>SUM(O10:O15)</f>
        <v>83</v>
      </c>
      <c r="P17" s="81">
        <f>SUM(P10:P15)</f>
        <v>68</v>
      </c>
      <c r="Q17" s="81">
        <f>SUM(Q10:Q15)</f>
        <v>205</v>
      </c>
      <c r="R17" s="81">
        <f>SUM(R10:R15)</f>
        <v>127</v>
      </c>
      <c r="S17" s="81">
        <f>SUM(S10:S15)</f>
        <v>132</v>
      </c>
      <c r="T17" s="81">
        <f>SUM(T10:T15)</f>
        <v>65</v>
      </c>
      <c r="U17" s="81">
        <f>SUM(U10:U15)</f>
        <v>680</v>
      </c>
      <c r="V17" s="18"/>
    </row>
    <row r="18" spans="1:22">
      <c r="A18">
        <v>12</v>
      </c>
      <c r="B18" s="14">
        <v>4</v>
      </c>
      <c r="C18" s="15">
        <v>1</v>
      </c>
    </row>
    <row r="19" spans="1:22">
      <c r="A19">
        <v>14</v>
      </c>
      <c r="B19" s="14">
        <v>4</v>
      </c>
      <c r="C19" s="15">
        <v>1</v>
      </c>
    </row>
    <row r="20" spans="1:22">
      <c r="A20">
        <v>16</v>
      </c>
      <c r="B20" s="14">
        <v>4</v>
      </c>
      <c r="C20" s="15">
        <v>5</v>
      </c>
    </row>
    <row r="21" spans="1:22">
      <c r="A21">
        <v>19</v>
      </c>
      <c r="B21" s="14">
        <v>4</v>
      </c>
      <c r="C21" s="15">
        <v>8</v>
      </c>
    </row>
    <row r="22" spans="1:22" ht="15" thickBot="1">
      <c r="A22">
        <v>21</v>
      </c>
      <c r="B22" s="16">
        <v>4</v>
      </c>
      <c r="C22" s="17">
        <v>1</v>
      </c>
    </row>
    <row r="23" spans="1:22">
      <c r="A23">
        <v>15</v>
      </c>
      <c r="B23" s="12">
        <v>5</v>
      </c>
      <c r="C23" s="13">
        <v>1</v>
      </c>
    </row>
    <row r="24" spans="1:22" ht="15" thickBot="1">
      <c r="A24">
        <v>17</v>
      </c>
      <c r="B24" s="16">
        <v>5</v>
      </c>
      <c r="C24" s="17">
        <v>6</v>
      </c>
    </row>
    <row r="41" spans="14:20" ht="14.4" customHeight="1"/>
    <row r="42" spans="14:20">
      <c r="N42" s="79" t="s">
        <v>127</v>
      </c>
      <c r="O42" s="79" t="s">
        <v>121</v>
      </c>
      <c r="P42" s="79" t="s">
        <v>111</v>
      </c>
      <c r="Q42" s="79" t="s">
        <v>122</v>
      </c>
      <c r="R42" s="79" t="s">
        <v>113</v>
      </c>
      <c r="S42" s="79" t="s">
        <v>123</v>
      </c>
      <c r="T42" s="79" t="s">
        <v>72</v>
      </c>
    </row>
    <row r="43" spans="14:20">
      <c r="N43" s="79"/>
      <c r="O43" s="79"/>
      <c r="P43" s="79"/>
      <c r="Q43" s="79"/>
      <c r="R43" s="79"/>
      <c r="S43" s="79"/>
      <c r="T43" s="79"/>
    </row>
    <row r="44" spans="14:20">
      <c r="N44" s="75" t="s">
        <v>100</v>
      </c>
      <c r="O44" s="86">
        <f>O11/$O$17%</f>
        <v>2.4096385542168677</v>
      </c>
      <c r="P44" s="86">
        <f>P11/$P$17%</f>
        <v>7.3529411764705879</v>
      </c>
      <c r="Q44" s="86">
        <f>Q11/$Q$17%</f>
        <v>3.4146341463414638</v>
      </c>
      <c r="R44" s="86">
        <f>R11/$R$17%</f>
        <v>4.7244094488188972</v>
      </c>
      <c r="S44" s="86">
        <f>S11/$S$17%</f>
        <v>11.363636363636363</v>
      </c>
      <c r="T44" s="86">
        <f>T11/$T$17%</f>
        <v>10.769230769230768</v>
      </c>
    </row>
    <row r="45" spans="14:20">
      <c r="N45" s="75" t="s">
        <v>67</v>
      </c>
      <c r="O45" s="86">
        <f t="shared" ref="O45:O48" si="2">O12/$O$17%</f>
        <v>6.024096385542169</v>
      </c>
      <c r="P45" s="86">
        <f t="shared" ref="P45:P48" si="3">P12/$P$17%</f>
        <v>8.8235294117647047</v>
      </c>
      <c r="Q45" s="86">
        <f t="shared" ref="Q45:Q48" si="4">Q12/$Q$17%</f>
        <v>10.731707317073171</v>
      </c>
      <c r="R45" s="86">
        <f t="shared" ref="R45:R48" si="5">R12/$R$17%</f>
        <v>10.236220472440944</v>
      </c>
      <c r="S45" s="86">
        <f t="shared" ref="S45:S48" si="6">S12/$S$17%</f>
        <v>16.666666666666664</v>
      </c>
      <c r="T45" s="86">
        <f t="shared" ref="T45:T48" si="7">T12/$T$17%</f>
        <v>10.769230769230768</v>
      </c>
    </row>
    <row r="46" spans="14:20">
      <c r="N46" s="75" t="s">
        <v>2</v>
      </c>
      <c r="O46" s="86">
        <f t="shared" si="2"/>
        <v>20.481927710843376</v>
      </c>
      <c r="P46" s="86">
        <f t="shared" si="3"/>
        <v>13.235294117647058</v>
      </c>
      <c r="Q46" s="86">
        <f t="shared" si="4"/>
        <v>16.097560975609756</v>
      </c>
      <c r="R46" s="86">
        <f t="shared" si="5"/>
        <v>18.110236220472441</v>
      </c>
      <c r="S46" s="86">
        <f t="shared" si="6"/>
        <v>16.666666666666664</v>
      </c>
      <c r="T46" s="86">
        <f t="shared" si="7"/>
        <v>7.6923076923076916</v>
      </c>
    </row>
    <row r="47" spans="14:20">
      <c r="N47" s="75" t="s">
        <v>11</v>
      </c>
      <c r="O47" s="86">
        <f t="shared" si="2"/>
        <v>32.53012048192771</v>
      </c>
      <c r="P47" s="86">
        <f t="shared" si="3"/>
        <v>33.823529411764703</v>
      </c>
      <c r="Q47" s="86">
        <f t="shared" si="4"/>
        <v>25.853658536585368</v>
      </c>
      <c r="R47" s="86">
        <f t="shared" si="5"/>
        <v>25.196850393700785</v>
      </c>
      <c r="S47" s="86">
        <f t="shared" si="6"/>
        <v>23.484848484848484</v>
      </c>
      <c r="T47" s="86">
        <f t="shared" si="7"/>
        <v>24.615384615384613</v>
      </c>
    </row>
    <row r="48" spans="14:20">
      <c r="N48" s="75" t="s">
        <v>9</v>
      </c>
      <c r="O48" s="86">
        <f t="shared" si="2"/>
        <v>38.554216867469883</v>
      </c>
      <c r="P48" s="86">
        <f t="shared" si="3"/>
        <v>36.764705882352942</v>
      </c>
      <c r="Q48" s="86">
        <f t="shared" si="4"/>
        <v>43.902439024390247</v>
      </c>
      <c r="R48" s="86">
        <f t="shared" si="5"/>
        <v>41.732283464566926</v>
      </c>
      <c r="S48" s="86">
        <f t="shared" si="6"/>
        <v>31.818181818181817</v>
      </c>
      <c r="T48" s="86">
        <f t="shared" si="7"/>
        <v>46.153846153846153</v>
      </c>
    </row>
    <row r="49" spans="14:20">
      <c r="N49" s="18"/>
      <c r="O49" s="85"/>
      <c r="P49" s="85"/>
      <c r="Q49" s="85"/>
      <c r="R49" s="85"/>
      <c r="S49" s="85"/>
      <c r="T49" s="85"/>
    </row>
    <row r="50" spans="14:20">
      <c r="N50" s="18" t="s">
        <v>87</v>
      </c>
      <c r="O50" s="84">
        <f>SUM(O43:O48)</f>
        <v>100</v>
      </c>
      <c r="P50" s="84">
        <f>SUM(P43:P48)</f>
        <v>100</v>
      </c>
      <c r="Q50" s="84">
        <f>SUM(Q43:Q48)</f>
        <v>100</v>
      </c>
      <c r="R50" s="84">
        <f>SUM(R43:R48)</f>
        <v>100</v>
      </c>
      <c r="S50" s="84">
        <f>SUM(S43:S48)</f>
        <v>99.999999999999986</v>
      </c>
      <c r="T50" s="84">
        <f>SUM(T43:T48)</f>
        <v>100</v>
      </c>
    </row>
  </sheetData>
  <autoFilter ref="N9:U10" xr:uid="{3259B591-EED0-4A6D-8B00-64ABB8169DDF}">
    <sortState xmlns:xlrd2="http://schemas.microsoft.com/office/spreadsheetml/2017/richdata2" ref="N12:U15">
      <sortCondition ref="U9:U10"/>
    </sortState>
  </autoFilter>
  <mergeCells count="20">
    <mergeCell ref="N42:N43"/>
    <mergeCell ref="O42:O43"/>
    <mergeCell ref="P42:P43"/>
    <mergeCell ref="Q42:Q43"/>
    <mergeCell ref="R42:R43"/>
    <mergeCell ref="S42:S43"/>
    <mergeCell ref="T42:T43"/>
    <mergeCell ref="T9:T10"/>
    <mergeCell ref="U9:U10"/>
    <mergeCell ref="V9:V10"/>
    <mergeCell ref="N9:N10"/>
    <mergeCell ref="O9:O10"/>
    <mergeCell ref="P9:P10"/>
    <mergeCell ref="Q9:Q10"/>
    <mergeCell ref="R9:R10"/>
    <mergeCell ref="S9:S10"/>
    <mergeCell ref="I9:J9"/>
    <mergeCell ref="G9:G10"/>
    <mergeCell ref="H9:H10"/>
    <mergeCell ref="K9:K10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FC76-8457-4CD5-B08E-8C38FF932B78}">
  <sheetPr>
    <tabColor theme="1"/>
  </sheetPr>
  <dimension ref="A1:T80"/>
  <sheetViews>
    <sheetView showGridLines="0" topLeftCell="A54" zoomScaleNormal="100" workbookViewId="0">
      <selection activeCell="L77" sqref="L77"/>
    </sheetView>
  </sheetViews>
  <sheetFormatPr defaultRowHeight="14.4"/>
  <cols>
    <col min="1" max="1" width="17.33203125" customWidth="1"/>
    <col min="2" max="4" width="11.44140625" customWidth="1"/>
    <col min="17" max="17" width="11.77734375" bestFit="1" customWidth="1"/>
  </cols>
  <sheetData>
    <row r="1" spans="1:20">
      <c r="A1" s="123" t="s">
        <v>130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</row>
    <row r="2" spans="1:20">
      <c r="A2" t="s">
        <v>146</v>
      </c>
    </row>
    <row r="3" spans="1:20">
      <c r="A3" t="s">
        <v>147</v>
      </c>
    </row>
    <row r="6" spans="1:20">
      <c r="A6" s="123" t="s">
        <v>131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</row>
    <row r="8" spans="1:20">
      <c r="H8" s="79" t="s">
        <v>127</v>
      </c>
      <c r="I8" s="79" t="s">
        <v>121</v>
      </c>
      <c r="J8" s="79" t="s">
        <v>111</v>
      </c>
      <c r="K8" s="79" t="s">
        <v>122</v>
      </c>
      <c r="L8" s="79" t="s">
        <v>113</v>
      </c>
      <c r="M8" s="79" t="s">
        <v>123</v>
      </c>
      <c r="N8" s="79" t="s">
        <v>72</v>
      </c>
      <c r="O8" s="79" t="s">
        <v>87</v>
      </c>
    </row>
    <row r="9" spans="1:20">
      <c r="H9" s="79"/>
      <c r="I9" s="79"/>
      <c r="J9" s="79"/>
      <c r="K9" s="79"/>
      <c r="L9" s="79"/>
      <c r="M9" s="79"/>
      <c r="N9" s="79"/>
      <c r="O9" s="79"/>
    </row>
    <row r="10" spans="1:20">
      <c r="H10" s="75" t="s">
        <v>100</v>
      </c>
      <c r="I10" s="82">
        <v>2</v>
      </c>
      <c r="J10" s="76">
        <v>5</v>
      </c>
      <c r="K10" s="82">
        <v>7</v>
      </c>
      <c r="L10" s="82">
        <v>6</v>
      </c>
      <c r="M10" s="76">
        <v>15</v>
      </c>
      <c r="N10" s="76">
        <v>7</v>
      </c>
      <c r="O10" s="81">
        <f>SUM(I10:N10)</f>
        <v>42</v>
      </c>
    </row>
    <row r="11" spans="1:20">
      <c r="H11" s="75" t="s">
        <v>67</v>
      </c>
      <c r="I11" s="81">
        <v>5</v>
      </c>
      <c r="J11" s="76">
        <v>6</v>
      </c>
      <c r="K11" s="81">
        <v>22</v>
      </c>
      <c r="L11" s="81">
        <v>13</v>
      </c>
      <c r="M11" s="76">
        <v>22</v>
      </c>
      <c r="N11" s="76">
        <v>7</v>
      </c>
      <c r="O11" s="81">
        <f>SUM(I11:N11)</f>
        <v>75</v>
      </c>
    </row>
    <row r="12" spans="1:20">
      <c r="H12" s="75" t="s">
        <v>2</v>
      </c>
      <c r="I12" s="81">
        <v>17</v>
      </c>
      <c r="J12" s="76">
        <v>9</v>
      </c>
      <c r="K12" s="81">
        <v>33</v>
      </c>
      <c r="L12" s="81">
        <v>23</v>
      </c>
      <c r="M12" s="76">
        <v>22</v>
      </c>
      <c r="N12" s="76">
        <v>5</v>
      </c>
      <c r="O12" s="81">
        <f>SUM(I12:N12)</f>
        <v>109</v>
      </c>
    </row>
    <row r="13" spans="1:20">
      <c r="H13" s="75" t="s">
        <v>11</v>
      </c>
      <c r="I13" s="82">
        <v>27</v>
      </c>
      <c r="J13" s="76">
        <v>23</v>
      </c>
      <c r="K13" s="82">
        <v>53</v>
      </c>
      <c r="L13" s="82">
        <v>32</v>
      </c>
      <c r="M13" s="76">
        <v>31</v>
      </c>
      <c r="N13" s="76">
        <v>16</v>
      </c>
      <c r="O13" s="81">
        <f>SUM(I13:N13)</f>
        <v>182</v>
      </c>
    </row>
    <row r="14" spans="1:20">
      <c r="H14" s="75" t="s">
        <v>9</v>
      </c>
      <c r="I14" s="82">
        <v>32</v>
      </c>
      <c r="J14" s="76">
        <v>25</v>
      </c>
      <c r="K14" s="82">
        <v>90</v>
      </c>
      <c r="L14" s="82">
        <v>53</v>
      </c>
      <c r="M14" s="76">
        <v>42</v>
      </c>
      <c r="N14" s="76">
        <v>30</v>
      </c>
      <c r="O14" s="81">
        <f>SUM(I14:N14)</f>
        <v>272</v>
      </c>
    </row>
    <row r="15" spans="1:20">
      <c r="H15" s="18"/>
      <c r="I15" s="18"/>
      <c r="J15" s="18"/>
      <c r="K15" s="18"/>
      <c r="L15" s="18"/>
      <c r="M15" s="18"/>
      <c r="N15" s="18"/>
      <c r="O15" s="18"/>
    </row>
    <row r="16" spans="1:20">
      <c r="H16" s="18" t="s">
        <v>87</v>
      </c>
      <c r="I16" s="81">
        <f>SUM(I9:I14)</f>
        <v>83</v>
      </c>
      <c r="J16" s="81">
        <f>SUM(J9:J14)</f>
        <v>68</v>
      </c>
      <c r="K16" s="81">
        <f>SUM(K9:K14)</f>
        <v>205</v>
      </c>
      <c r="L16" s="81">
        <f>SUM(L9:L14)</f>
        <v>127</v>
      </c>
      <c r="M16" s="81">
        <f>SUM(M9:M14)</f>
        <v>132</v>
      </c>
      <c r="N16" s="81">
        <f>SUM(N9:N14)</f>
        <v>65</v>
      </c>
      <c r="O16" s="81">
        <f>SUM(O9:O14)</f>
        <v>680</v>
      </c>
    </row>
    <row r="18" spans="1:20">
      <c r="B18" s="44"/>
      <c r="C18" s="44"/>
      <c r="D18" s="44"/>
    </row>
    <row r="19" spans="1:20">
      <c r="A19" s="123" t="s">
        <v>132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</row>
    <row r="21" spans="1:20">
      <c r="H21" s="79" t="s">
        <v>127</v>
      </c>
      <c r="I21" s="79" t="s">
        <v>121</v>
      </c>
      <c r="J21" s="79" t="s">
        <v>111</v>
      </c>
      <c r="K21" s="79" t="s">
        <v>122</v>
      </c>
      <c r="L21" s="79" t="s">
        <v>113</v>
      </c>
      <c r="M21" s="79" t="s">
        <v>123</v>
      </c>
      <c r="N21" s="79" t="s">
        <v>72</v>
      </c>
    </row>
    <row r="22" spans="1:20">
      <c r="H22" s="79"/>
      <c r="I22" s="79"/>
      <c r="J22" s="79"/>
      <c r="K22" s="79"/>
      <c r="L22" s="79"/>
      <c r="M22" s="79"/>
      <c r="N22" s="79"/>
    </row>
    <row r="23" spans="1:20">
      <c r="H23" s="75" t="s">
        <v>100</v>
      </c>
      <c r="I23" s="129">
        <f>($I$16*O10)/$O$16</f>
        <v>5.1264705882352946</v>
      </c>
      <c r="J23" s="129">
        <f>($J$16*O10)/$O$16</f>
        <v>4.2</v>
      </c>
      <c r="K23" s="129">
        <f>($K$16*O10)/$O$16</f>
        <v>12.661764705882353</v>
      </c>
      <c r="L23" s="129">
        <f>($L$16*O10)/$O$16</f>
        <v>7.8441176470588232</v>
      </c>
      <c r="M23" s="129">
        <f>($M$16*O10)/$O$16</f>
        <v>8.1529411764705877</v>
      </c>
      <c r="N23" s="129">
        <f>($N$16*O10)/$O$16</f>
        <v>4.0147058823529411</v>
      </c>
    </row>
    <row r="24" spans="1:20">
      <c r="H24" s="75" t="s">
        <v>67</v>
      </c>
      <c r="I24" s="129">
        <f t="shared" ref="I24:I27" si="0">($I$16*O11)/$O$16</f>
        <v>9.1544117647058822</v>
      </c>
      <c r="J24" s="129">
        <f t="shared" ref="J24:J27" si="1">($J$16*O11)/$O$16</f>
        <v>7.5</v>
      </c>
      <c r="K24" s="129">
        <f t="shared" ref="K24:K27" si="2">($K$16*O11)/$O$16</f>
        <v>22.610294117647058</v>
      </c>
      <c r="L24" s="129">
        <f t="shared" ref="L24:L27" si="3">($L$16*O11)/$O$16</f>
        <v>14.007352941176471</v>
      </c>
      <c r="M24" s="129">
        <f t="shared" ref="M24:M27" si="4">($M$16*O11)/$O$16</f>
        <v>14.558823529411764</v>
      </c>
      <c r="N24" s="129">
        <f t="shared" ref="N24:N27" si="5">($N$16*O11)/$O$16</f>
        <v>7.1691176470588234</v>
      </c>
    </row>
    <row r="25" spans="1:20">
      <c r="H25" s="75" t="s">
        <v>2</v>
      </c>
      <c r="I25" s="129">
        <f t="shared" si="0"/>
        <v>13.304411764705883</v>
      </c>
      <c r="J25" s="129">
        <f t="shared" si="1"/>
        <v>10.9</v>
      </c>
      <c r="K25" s="129">
        <f t="shared" si="2"/>
        <v>32.860294117647058</v>
      </c>
      <c r="L25" s="129">
        <f t="shared" si="3"/>
        <v>20.357352941176469</v>
      </c>
      <c r="M25" s="129">
        <f t="shared" si="4"/>
        <v>21.158823529411766</v>
      </c>
      <c r="N25" s="129">
        <f t="shared" si="5"/>
        <v>10.419117647058824</v>
      </c>
    </row>
    <row r="26" spans="1:20">
      <c r="H26" s="75" t="s">
        <v>11</v>
      </c>
      <c r="I26" s="129">
        <f t="shared" si="0"/>
        <v>22.214705882352941</v>
      </c>
      <c r="J26" s="129">
        <f t="shared" si="1"/>
        <v>18.2</v>
      </c>
      <c r="K26" s="129">
        <f t="shared" si="2"/>
        <v>54.867647058823529</v>
      </c>
      <c r="L26" s="129">
        <f t="shared" si="3"/>
        <v>33.991176470588236</v>
      </c>
      <c r="M26" s="129">
        <f t="shared" si="4"/>
        <v>35.329411764705881</v>
      </c>
      <c r="N26" s="129">
        <f t="shared" si="5"/>
        <v>17.397058823529413</v>
      </c>
    </row>
    <row r="27" spans="1:20">
      <c r="H27" s="75" t="s">
        <v>9</v>
      </c>
      <c r="I27" s="129">
        <f t="shared" si="0"/>
        <v>33.200000000000003</v>
      </c>
      <c r="J27" s="129">
        <f t="shared" si="1"/>
        <v>27.2</v>
      </c>
      <c r="K27" s="129">
        <f t="shared" si="2"/>
        <v>82</v>
      </c>
      <c r="L27" s="129">
        <f t="shared" si="3"/>
        <v>50.8</v>
      </c>
      <c r="M27" s="129">
        <f t="shared" si="4"/>
        <v>52.8</v>
      </c>
      <c r="N27" s="129">
        <f t="shared" si="5"/>
        <v>26</v>
      </c>
    </row>
    <row r="28" spans="1:20">
      <c r="F28" s="25"/>
    </row>
    <row r="31" spans="1:20">
      <c r="A31" s="123" t="s">
        <v>133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</row>
    <row r="33" spans="1:20">
      <c r="H33" s="79" t="s">
        <v>127</v>
      </c>
      <c r="I33" s="79" t="s">
        <v>121</v>
      </c>
      <c r="J33" s="79" t="s">
        <v>111</v>
      </c>
      <c r="K33" s="79" t="s">
        <v>122</v>
      </c>
      <c r="L33" s="79" t="s">
        <v>113</v>
      </c>
      <c r="M33" s="79" t="s">
        <v>123</v>
      </c>
      <c r="N33" s="79" t="s">
        <v>72</v>
      </c>
    </row>
    <row r="34" spans="1:20">
      <c r="H34" s="79"/>
      <c r="I34" s="79"/>
      <c r="J34" s="79"/>
      <c r="K34" s="79"/>
      <c r="L34" s="79"/>
      <c r="M34" s="79"/>
      <c r="N34" s="79"/>
    </row>
    <row r="35" spans="1:20">
      <c r="H35" s="75" t="s">
        <v>100</v>
      </c>
      <c r="I35" s="129">
        <f>(I10-I23)^2/I23</f>
        <v>1.906734501029328</v>
      </c>
      <c r="J35" s="129">
        <f t="shared" ref="J35:N35" si="6">(J10-J23)^2/J23</f>
        <v>0.15238095238095231</v>
      </c>
      <c r="K35" s="129">
        <f t="shared" si="6"/>
        <v>2.5316834050693449</v>
      </c>
      <c r="L35" s="129">
        <f>(L10-L23)^2/L23</f>
        <v>0.43354396876860962</v>
      </c>
      <c r="M35" s="129">
        <f t="shared" si="6"/>
        <v>5.7503437738731868</v>
      </c>
      <c r="N35" s="129">
        <f t="shared" si="6"/>
        <v>2.2198340874811464</v>
      </c>
    </row>
    <row r="36" spans="1:20">
      <c r="H36" s="75" t="s">
        <v>67</v>
      </c>
      <c r="I36" s="129">
        <f t="shared" ref="I36:N39" si="7">(I11-I24)^2/I24</f>
        <v>1.8853354594849985</v>
      </c>
      <c r="J36" s="129">
        <f t="shared" si="7"/>
        <v>0.3</v>
      </c>
      <c r="K36" s="129">
        <f t="shared" si="7"/>
        <v>1.6472979435676667E-2</v>
      </c>
      <c r="L36" s="129">
        <f t="shared" si="7"/>
        <v>7.2444804693531026E-2</v>
      </c>
      <c r="M36" s="129">
        <f t="shared" si="7"/>
        <v>3.8032679738562094</v>
      </c>
      <c r="N36" s="129">
        <f t="shared" si="7"/>
        <v>3.9894419306183938E-3</v>
      </c>
    </row>
    <row r="37" spans="1:20">
      <c r="H37" s="75" t="s">
        <v>2</v>
      </c>
      <c r="I37" s="129">
        <f t="shared" si="7"/>
        <v>1.0265295938205059</v>
      </c>
      <c r="J37" s="129">
        <f t="shared" si="7"/>
        <v>0.33119266055045882</v>
      </c>
      <c r="K37" s="129">
        <f t="shared" si="7"/>
        <v>5.9396101246496173E-4</v>
      </c>
      <c r="L37" s="129">
        <f t="shared" si="7"/>
        <v>0.34304968321215695</v>
      </c>
      <c r="M37" s="129">
        <f t="shared" si="7"/>
        <v>3.3441266414822708E-2</v>
      </c>
      <c r="N37" s="129">
        <f t="shared" si="7"/>
        <v>2.8185530740171867</v>
      </c>
    </row>
    <row r="38" spans="1:20">
      <c r="H38" s="75" t="s">
        <v>11</v>
      </c>
      <c r="I38" s="129">
        <f t="shared" si="7"/>
        <v>1.030805445440456</v>
      </c>
      <c r="J38" s="129">
        <f t="shared" si="7"/>
        <v>1.2659340659340663</v>
      </c>
      <c r="K38" s="129">
        <f t="shared" si="7"/>
        <v>6.3573084017847253E-2</v>
      </c>
      <c r="L38" s="129">
        <f t="shared" si="7"/>
        <v>0.11664155668324275</v>
      </c>
      <c r="M38" s="129">
        <f t="shared" si="7"/>
        <v>0.53054396583808328</v>
      </c>
      <c r="N38" s="129">
        <f t="shared" si="7"/>
        <v>0.11218984635274247</v>
      </c>
    </row>
    <row r="39" spans="1:20">
      <c r="H39" s="75" t="s">
        <v>9</v>
      </c>
      <c r="I39" s="129">
        <f t="shared" si="7"/>
        <v>4.3373493975903815E-2</v>
      </c>
      <c r="J39" s="129">
        <f t="shared" si="7"/>
        <v>0.17794117647058813</v>
      </c>
      <c r="K39" s="129">
        <f t="shared" si="7"/>
        <v>0.78048780487804881</v>
      </c>
      <c r="L39" s="129">
        <f t="shared" si="7"/>
        <v>9.5275590551181344E-2</v>
      </c>
      <c r="M39" s="129">
        <f t="shared" si="7"/>
        <v>2.2090909090909081</v>
      </c>
      <c r="N39" s="129">
        <f t="shared" si="7"/>
        <v>0.61538461538461542</v>
      </c>
      <c r="O39" s="25">
        <f>SUM(I35:N39)</f>
        <v>30.670633141648885</v>
      </c>
    </row>
    <row r="44" spans="1:20">
      <c r="A44" s="123" t="s">
        <v>134</v>
      </c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</row>
    <row r="46" spans="1:20">
      <c r="H46" s="18" t="s">
        <v>135</v>
      </c>
      <c r="I46" s="18">
        <v>5</v>
      </c>
    </row>
    <row r="47" spans="1:20">
      <c r="H47" s="18" t="s">
        <v>136</v>
      </c>
      <c r="I47" s="18">
        <v>6</v>
      </c>
    </row>
    <row r="48" spans="1:20">
      <c r="H48" s="18" t="s">
        <v>134</v>
      </c>
      <c r="I48" s="124">
        <f>(O39-(I46-1)*(I47-1))/SQRT((I46-1)*(I47-1))</f>
        <v>2.386026106768905</v>
      </c>
    </row>
    <row r="51" spans="1:20">
      <c r="A51" s="123" t="s">
        <v>137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</row>
    <row r="56" spans="1:20">
      <c r="A56" s="18" t="s">
        <v>138</v>
      </c>
      <c r="B56" s="18">
        <f>(I46-1)*(I47-1)</f>
        <v>20</v>
      </c>
    </row>
    <row r="57" spans="1:20">
      <c r="A57" s="125" t="s">
        <v>139</v>
      </c>
      <c r="B57" s="126">
        <v>0.05</v>
      </c>
    </row>
    <row r="59" spans="1:20">
      <c r="A59" s="123" t="s">
        <v>145</v>
      </c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</row>
    <row r="61" spans="1:20" ht="16.2">
      <c r="G61" s="18" t="s">
        <v>140</v>
      </c>
      <c r="H61" s="18">
        <v>31.41</v>
      </c>
    </row>
    <row r="62" spans="1:20" ht="16.2">
      <c r="G62" s="18" t="s">
        <v>141</v>
      </c>
      <c r="H62" s="85">
        <f>O39</f>
        <v>30.670633141648885</v>
      </c>
    </row>
    <row r="76" spans="1:4">
      <c r="B76" t="s">
        <v>142</v>
      </c>
      <c r="D76" t="s">
        <v>143</v>
      </c>
    </row>
    <row r="77" spans="1:4">
      <c r="C77" s="127">
        <f>H61</f>
        <v>31.41</v>
      </c>
      <c r="D77" s="127"/>
    </row>
    <row r="79" spans="1:4">
      <c r="A79" s="128" t="s">
        <v>149</v>
      </c>
      <c r="B79" s="128" t="s">
        <v>144</v>
      </c>
    </row>
    <row r="80" spans="1:4">
      <c r="B80" t="s">
        <v>148</v>
      </c>
    </row>
  </sheetData>
  <mergeCells count="30">
    <mergeCell ref="M21:M22"/>
    <mergeCell ref="N21:N22"/>
    <mergeCell ref="H33:H34"/>
    <mergeCell ref="I33:I34"/>
    <mergeCell ref="J33:J34"/>
    <mergeCell ref="K33:K34"/>
    <mergeCell ref="L33:L34"/>
    <mergeCell ref="M33:M34"/>
    <mergeCell ref="N33:N34"/>
    <mergeCell ref="H8:H9"/>
    <mergeCell ref="I8:I9"/>
    <mergeCell ref="J8:J9"/>
    <mergeCell ref="K8:K9"/>
    <mergeCell ref="L8:L9"/>
    <mergeCell ref="M8:M9"/>
    <mergeCell ref="N8:N9"/>
    <mergeCell ref="O8:O9"/>
    <mergeCell ref="H21:H22"/>
    <mergeCell ref="A51:T51"/>
    <mergeCell ref="A59:T59"/>
    <mergeCell ref="C77:D77"/>
    <mergeCell ref="A31:T31"/>
    <mergeCell ref="A44:T44"/>
    <mergeCell ref="I21:I22"/>
    <mergeCell ref="J21:J22"/>
    <mergeCell ref="K21:K22"/>
    <mergeCell ref="L21:L22"/>
    <mergeCell ref="A1:T1"/>
    <mergeCell ref="A6:T6"/>
    <mergeCell ref="A19:T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4E4B-DDB9-440C-845F-2F95BE746C57}">
  <sheetPr>
    <tabColor theme="1"/>
  </sheetPr>
  <dimension ref="A47"/>
  <sheetViews>
    <sheetView zoomScale="92" zoomScaleNormal="92" workbookViewId="0">
      <selection activeCell="N24" sqref="N24"/>
    </sheetView>
  </sheetViews>
  <sheetFormatPr defaultRowHeight="14.4"/>
  <sheetData>
    <row r="47" ht="13.2" customHeight="1"/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C976-9E8E-48C4-97CE-EDD15863E982}">
  <dimension ref="A4:E92"/>
  <sheetViews>
    <sheetView topLeftCell="A65" workbookViewId="0">
      <selection activeCell="C92" sqref="B67:C92"/>
    </sheetView>
  </sheetViews>
  <sheetFormatPr defaultRowHeight="14.4"/>
  <sheetData>
    <row r="4" spans="1:5">
      <c r="A4" t="s">
        <v>80</v>
      </c>
      <c r="B4" t="s">
        <v>14</v>
      </c>
      <c r="C4" t="s">
        <v>76</v>
      </c>
      <c r="D4" t="s">
        <v>72</v>
      </c>
      <c r="E4" t="s">
        <v>78</v>
      </c>
    </row>
    <row r="5" spans="1:5">
      <c r="A5" t="s">
        <v>0</v>
      </c>
      <c r="B5">
        <v>52</v>
      </c>
      <c r="C5">
        <v>10</v>
      </c>
      <c r="D5">
        <v>8</v>
      </c>
      <c r="E5">
        <v>70</v>
      </c>
    </row>
    <row r="6" spans="1:5">
      <c r="A6" t="s">
        <v>1</v>
      </c>
      <c r="B6">
        <v>78</v>
      </c>
      <c r="C6">
        <v>45</v>
      </c>
      <c r="D6">
        <v>31</v>
      </c>
      <c r="E6">
        <v>154</v>
      </c>
    </row>
    <row r="7" spans="1:5">
      <c r="A7" t="s">
        <v>78</v>
      </c>
      <c r="B7">
        <v>130</v>
      </c>
      <c r="C7">
        <v>55</v>
      </c>
      <c r="D7">
        <v>39</v>
      </c>
      <c r="E7">
        <v>224</v>
      </c>
    </row>
    <row r="10" spans="1:5">
      <c r="A10" t="s">
        <v>88</v>
      </c>
    </row>
    <row r="11" spans="1:5">
      <c r="A11" t="s">
        <v>81</v>
      </c>
      <c r="B11" t="s">
        <v>87</v>
      </c>
    </row>
    <row r="12" spans="1:5">
      <c r="A12" t="s">
        <v>67</v>
      </c>
      <c r="B12">
        <v>1</v>
      </c>
      <c r="C12">
        <v>1</v>
      </c>
    </row>
    <row r="13" spans="1:5">
      <c r="A13" t="s">
        <v>11</v>
      </c>
      <c r="B13">
        <v>9</v>
      </c>
      <c r="C13">
        <v>1</v>
      </c>
    </row>
    <row r="14" spans="1:5">
      <c r="A14" t="s">
        <v>6</v>
      </c>
      <c r="B14">
        <v>3</v>
      </c>
      <c r="C14">
        <v>2</v>
      </c>
    </row>
    <row r="15" spans="1:5">
      <c r="A15" t="s">
        <v>74</v>
      </c>
      <c r="B15">
        <v>1</v>
      </c>
      <c r="C15">
        <v>3</v>
      </c>
    </row>
    <row r="16" spans="1:5">
      <c r="A16" t="s">
        <v>9</v>
      </c>
      <c r="B16">
        <v>26</v>
      </c>
      <c r="C16">
        <v>1</v>
      </c>
    </row>
    <row r="17" spans="1:2">
      <c r="A17" t="s">
        <v>41</v>
      </c>
      <c r="B17">
        <v>1</v>
      </c>
    </row>
    <row r="18" spans="1:2">
      <c r="A18" t="s">
        <v>13</v>
      </c>
      <c r="B18">
        <v>7</v>
      </c>
    </row>
    <row r="19" spans="1:2">
      <c r="A19" t="s">
        <v>8</v>
      </c>
      <c r="B19">
        <v>30</v>
      </c>
    </row>
    <row r="20" spans="1:2">
      <c r="A20" t="s">
        <v>51</v>
      </c>
      <c r="B20">
        <v>2</v>
      </c>
    </row>
    <row r="21" spans="1:2">
      <c r="A21" t="s">
        <v>10</v>
      </c>
      <c r="B21">
        <v>9</v>
      </c>
    </row>
    <row r="22" spans="1:2">
      <c r="A22" t="s">
        <v>48</v>
      </c>
      <c r="B22">
        <v>2</v>
      </c>
    </row>
    <row r="23" spans="1:2">
      <c r="A23" t="s">
        <v>7</v>
      </c>
      <c r="B23">
        <v>1</v>
      </c>
    </row>
    <row r="24" spans="1:2">
      <c r="A24" t="s">
        <v>32</v>
      </c>
      <c r="B24">
        <v>10</v>
      </c>
    </row>
    <row r="25" spans="1:2">
      <c r="A25" t="s">
        <v>59</v>
      </c>
      <c r="B25">
        <v>1</v>
      </c>
    </row>
    <row r="26" spans="1:2">
      <c r="A26" t="s">
        <v>5</v>
      </c>
      <c r="B26">
        <v>1</v>
      </c>
    </row>
    <row r="27" spans="1:2">
      <c r="A27" t="s">
        <v>37</v>
      </c>
      <c r="B27">
        <v>5</v>
      </c>
    </row>
    <row r="28" spans="1:2">
      <c r="A28" t="s">
        <v>73</v>
      </c>
      <c r="B28">
        <v>6</v>
      </c>
    </row>
    <row r="29" spans="1:2">
      <c r="A29" t="s">
        <v>3</v>
      </c>
      <c r="B29">
        <v>8</v>
      </c>
    </row>
    <row r="30" spans="1:2">
      <c r="A30" t="s">
        <v>69</v>
      </c>
      <c r="B30">
        <v>8</v>
      </c>
    </row>
    <row r="31" spans="1:2">
      <c r="A31" t="s">
        <v>12</v>
      </c>
      <c r="B31">
        <v>5</v>
      </c>
    </row>
    <row r="32" spans="1:2">
      <c r="A32" t="s">
        <v>70</v>
      </c>
      <c r="B32">
        <v>1</v>
      </c>
    </row>
    <row r="33" spans="1:2">
      <c r="A33" t="s">
        <v>4</v>
      </c>
      <c r="B33">
        <v>6</v>
      </c>
    </row>
    <row r="34" spans="1:2">
      <c r="A34" t="s">
        <v>2</v>
      </c>
      <c r="B34">
        <v>11</v>
      </c>
    </row>
    <row r="35" spans="1:2">
      <c r="A35" t="s">
        <v>77</v>
      </c>
    </row>
    <row r="36" spans="1:2">
      <c r="A36" t="s">
        <v>78</v>
      </c>
      <c r="B36">
        <v>154</v>
      </c>
    </row>
    <row r="39" spans="1:2">
      <c r="A39" t="s">
        <v>89</v>
      </c>
    </row>
    <row r="40" spans="1:2">
      <c r="A40" t="s">
        <v>82</v>
      </c>
      <c r="B40" t="s">
        <v>87</v>
      </c>
    </row>
    <row r="41" spans="1:2">
      <c r="A41" t="s">
        <v>62</v>
      </c>
      <c r="B41">
        <v>73</v>
      </c>
    </row>
    <row r="42" spans="1:2">
      <c r="A42" t="s">
        <v>65</v>
      </c>
      <c r="B42">
        <v>16</v>
      </c>
    </row>
    <row r="43" spans="1:2">
      <c r="A43" t="s">
        <v>15</v>
      </c>
      <c r="B43">
        <v>91</v>
      </c>
    </row>
    <row r="44" spans="1:2">
      <c r="A44" t="s">
        <v>61</v>
      </c>
      <c r="B44">
        <v>39</v>
      </c>
    </row>
    <row r="45" spans="1:2">
      <c r="A45" t="s">
        <v>78</v>
      </c>
      <c r="B45">
        <v>219</v>
      </c>
    </row>
    <row r="48" spans="1:2">
      <c r="A48" t="s">
        <v>90</v>
      </c>
    </row>
    <row r="49" spans="1:2">
      <c r="A49" t="s">
        <v>83</v>
      </c>
      <c r="B49" t="s">
        <v>87</v>
      </c>
    </row>
    <row r="50" spans="1:2">
      <c r="A50" t="s">
        <v>14</v>
      </c>
      <c r="B50">
        <v>130</v>
      </c>
    </row>
    <row r="51" spans="1:2">
      <c r="A51" t="s">
        <v>76</v>
      </c>
      <c r="B51">
        <v>55</v>
      </c>
    </row>
    <row r="52" spans="1:2">
      <c r="A52" t="s">
        <v>72</v>
      </c>
      <c r="B52">
        <v>39</v>
      </c>
    </row>
    <row r="53" spans="1:2">
      <c r="A53" t="s">
        <v>78</v>
      </c>
      <c r="B53">
        <v>224</v>
      </c>
    </row>
    <row r="55" spans="1:2">
      <c r="A55" t="s">
        <v>91</v>
      </c>
    </row>
    <row r="56" spans="1:2">
      <c r="A56" t="s">
        <v>85</v>
      </c>
      <c r="B56" t="s">
        <v>87</v>
      </c>
    </row>
    <row r="57" spans="1:2">
      <c r="A57" t="s">
        <v>64</v>
      </c>
      <c r="B57">
        <v>3</v>
      </c>
    </row>
    <row r="58" spans="1:2">
      <c r="A58" t="s">
        <v>63</v>
      </c>
      <c r="B58">
        <v>46</v>
      </c>
    </row>
    <row r="59" spans="1:2">
      <c r="A59" t="s">
        <v>66</v>
      </c>
      <c r="B59">
        <v>35</v>
      </c>
    </row>
    <row r="60" spans="1:2">
      <c r="A60" t="s">
        <v>68</v>
      </c>
      <c r="B60">
        <v>5</v>
      </c>
    </row>
    <row r="61" spans="1:2">
      <c r="A61" t="s">
        <v>77</v>
      </c>
    </row>
    <row r="62" spans="1:2">
      <c r="A62" t="s">
        <v>78</v>
      </c>
      <c r="B62">
        <v>89</v>
      </c>
    </row>
    <row r="65" spans="1:3">
      <c r="A65" t="s">
        <v>80</v>
      </c>
      <c r="B65" t="s">
        <v>1</v>
      </c>
    </row>
    <row r="67" spans="1:3">
      <c r="A67" t="s">
        <v>88</v>
      </c>
      <c r="B67" t="s">
        <v>82</v>
      </c>
    </row>
    <row r="68" spans="1:3">
      <c r="A68" t="s">
        <v>81</v>
      </c>
      <c r="B68" t="s">
        <v>15</v>
      </c>
      <c r="C68" t="s">
        <v>61</v>
      </c>
    </row>
    <row r="69" spans="1:3">
      <c r="A69" t="s">
        <v>67</v>
      </c>
    </row>
    <row r="70" spans="1:3">
      <c r="A70" t="s">
        <v>11</v>
      </c>
      <c r="B70">
        <v>8</v>
      </c>
      <c r="C70">
        <v>1</v>
      </c>
    </row>
    <row r="71" spans="1:3">
      <c r="A71" t="s">
        <v>6</v>
      </c>
      <c r="B71">
        <v>2</v>
      </c>
    </row>
    <row r="72" spans="1:3">
      <c r="A72" t="s">
        <v>74</v>
      </c>
    </row>
    <row r="73" spans="1:3">
      <c r="A73" t="s">
        <v>9</v>
      </c>
      <c r="B73">
        <v>10</v>
      </c>
      <c r="C73">
        <v>2</v>
      </c>
    </row>
    <row r="74" spans="1:3">
      <c r="A74" t="s">
        <v>41</v>
      </c>
      <c r="C74">
        <v>1</v>
      </c>
    </row>
    <row r="75" spans="1:3">
      <c r="A75" t="s">
        <v>13</v>
      </c>
      <c r="B75">
        <v>1</v>
      </c>
    </row>
    <row r="76" spans="1:3">
      <c r="A76" t="s">
        <v>8</v>
      </c>
      <c r="B76">
        <v>11</v>
      </c>
      <c r="C76">
        <v>9</v>
      </c>
    </row>
    <row r="77" spans="1:3">
      <c r="A77" t="s">
        <v>51</v>
      </c>
      <c r="C77">
        <v>2</v>
      </c>
    </row>
    <row r="78" spans="1:3">
      <c r="A78" t="s">
        <v>10</v>
      </c>
      <c r="B78">
        <v>2</v>
      </c>
    </row>
    <row r="79" spans="1:3">
      <c r="A79" t="s">
        <v>48</v>
      </c>
      <c r="C79">
        <v>2</v>
      </c>
    </row>
    <row r="80" spans="1:3">
      <c r="A80" t="s">
        <v>7</v>
      </c>
      <c r="B80">
        <v>1</v>
      </c>
    </row>
    <row r="81" spans="1:3">
      <c r="A81" t="s">
        <v>32</v>
      </c>
      <c r="C81">
        <v>3</v>
      </c>
    </row>
    <row r="82" spans="1:3">
      <c r="A82" t="s">
        <v>59</v>
      </c>
      <c r="C82">
        <v>1</v>
      </c>
    </row>
    <row r="83" spans="1:3">
      <c r="A83" t="s">
        <v>5</v>
      </c>
      <c r="B83">
        <v>1</v>
      </c>
    </row>
    <row r="84" spans="1:3">
      <c r="A84" t="s">
        <v>37</v>
      </c>
      <c r="C84">
        <v>1</v>
      </c>
    </row>
    <row r="85" spans="1:3">
      <c r="A85" t="s">
        <v>73</v>
      </c>
    </row>
    <row r="86" spans="1:3">
      <c r="A86" t="s">
        <v>3</v>
      </c>
      <c r="B86">
        <v>2</v>
      </c>
      <c r="C86">
        <v>4</v>
      </c>
    </row>
    <row r="87" spans="1:3">
      <c r="A87" t="s">
        <v>69</v>
      </c>
    </row>
    <row r="88" spans="1:3">
      <c r="A88" t="s">
        <v>12</v>
      </c>
      <c r="B88">
        <v>1</v>
      </c>
    </row>
    <row r="89" spans="1:3">
      <c r="A89" t="s">
        <v>70</v>
      </c>
    </row>
    <row r="90" spans="1:3">
      <c r="A90" t="s">
        <v>4</v>
      </c>
      <c r="B90">
        <v>3</v>
      </c>
    </row>
    <row r="91" spans="1:3">
      <c r="A91" t="s">
        <v>2</v>
      </c>
      <c r="B91">
        <v>8</v>
      </c>
      <c r="C91">
        <v>2</v>
      </c>
    </row>
    <row r="92" spans="1:3">
      <c r="A92" t="s">
        <v>78</v>
      </c>
      <c r="B92">
        <v>50</v>
      </c>
      <c r="C92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BANCO DE DADOS</vt:lpstr>
      <vt:lpstr>TABELA DINAMICA</vt:lpstr>
      <vt:lpstr>TABELAS</vt:lpstr>
      <vt:lpstr>DADOS EEAR</vt:lpstr>
      <vt:lpstr>VIOL QTD</vt:lpstr>
      <vt:lpstr>VIOLENCIAS</vt:lpstr>
      <vt:lpstr>TESTES</vt:lpstr>
      <vt:lpstr>QUI QUADRADO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2025-11-16T16:17:22Z</dcterms:created>
  <dcterms:modified xsi:type="dcterms:W3CDTF">2025-11-17T23:06:17Z</dcterms:modified>
</cp:coreProperties>
</file>